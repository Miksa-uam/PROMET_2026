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2\proyectoshcuva\alfredomartinez\bbva\bbddgeneticaextraccion\"/>
    </mc:Choice>
  </mc:AlternateContent>
  <xr:revisionPtr revIDLastSave="0" documentId="8_{91FB0CF3-8747-4403-B845-92576480037F}" xr6:coauthVersionLast="47" xr6:coauthVersionMax="47" xr10:uidLastSave="{00000000-0000-0000-0000-000000000000}"/>
  <bookViews>
    <workbookView xWindow="-108" yWindow="-108" windowWidth="23256" windowHeight="12456" xr2:uid="{059FE4EB-E35C-47D5-BD9A-551BF66ED17A}"/>
  </bookViews>
  <sheets>
    <sheet name="Paciente" sheetId="3" r:id="rId1"/>
    <sheet name="Expediente" sheetId="4" r:id="rId2"/>
    <sheet name="Prescripción" sheetId="5" r:id="rId3"/>
    <sheet name="Medidas" sheetId="6" r:id="rId4"/>
    <sheet name="Alelos" sheetId="10" r:id="rId5"/>
    <sheet name="Casos complej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11" i="6"/>
  <c r="I64" i="5"/>
  <c r="I5" i="3"/>
  <c r="I14" i="5"/>
  <c r="I16" i="5"/>
  <c r="I15" i="5"/>
  <c r="I13" i="5"/>
  <c r="I63" i="5"/>
  <c r="I23" i="4" l="1"/>
  <c r="I2" i="6"/>
  <c r="I3" i="6"/>
  <c r="I4" i="6"/>
  <c r="I5" i="6"/>
  <c r="I6" i="6"/>
  <c r="I7" i="6"/>
  <c r="I8" i="6"/>
  <c r="I9" i="6"/>
  <c r="I12" i="6"/>
  <c r="I13" i="6"/>
  <c r="I14" i="6"/>
  <c r="I15" i="6"/>
  <c r="I2" i="5"/>
  <c r="I3" i="5"/>
  <c r="I4" i="5"/>
  <c r="I5" i="5"/>
  <c r="I6" i="5"/>
  <c r="I7" i="5"/>
  <c r="I8" i="5"/>
  <c r="I9" i="5"/>
  <c r="I10" i="5"/>
  <c r="I11" i="5"/>
  <c r="I12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34" i="4"/>
  <c r="I33" i="4"/>
  <c r="I32" i="4"/>
  <c r="I31" i="4"/>
  <c r="I30" i="4"/>
  <c r="I29" i="4"/>
  <c r="I28" i="4"/>
  <c r="I27" i="4"/>
  <c r="I26" i="4"/>
  <c r="I25" i="4"/>
  <c r="I24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" i="3"/>
  <c r="I7" i="3"/>
  <c r="I6" i="3"/>
  <c r="I4" i="3"/>
  <c r="I3" i="3"/>
  <c r="I2" i="3"/>
</calcChain>
</file>

<file path=xl/sharedStrings.xml><?xml version="1.0" encoding="utf-8"?>
<sst xmlns="http://schemas.openxmlformats.org/spreadsheetml/2006/main" count="1456" uniqueCount="673">
  <si>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</si>
  <si>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</si>
  <si>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</si>
  <si>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</si>
  <si>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</si>
  <si>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</si>
  <si>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</si>
  <si>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</si>
  <si>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</si>
  <si>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</si>
  <si>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</si>
  <si>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</si>
  <si>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</si>
  <si>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</si>
  <si>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</si>
  <si>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</si>
  <si>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</si>
  <si>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</si>
  <si>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</si>
  <si>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</si>
  <si>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</si>
  <si>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</si>
  <si>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</si>
  <si>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</si>
  <si>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</si>
  <si>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</si>
  <si>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</si>
  <si>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</si>
  <si>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</si>
  <si>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</si>
  <si>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</si>
  <si>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</si>
  <si>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</si>
  <si>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</si>
  <si>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</si>
  <si>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</si>
  <si>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</si>
  <si>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</si>
  <si>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</si>
  <si>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</si>
  <si>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</si>
  <si>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</si>
  <si>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</si>
  <si>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</si>
  <si>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</si>
  <si>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</si>
  <si>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</si>
  <si>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</si>
  <si>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</si>
  <si>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</si>
  <si>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</si>
  <si>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</si>
  <si>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</si>
  <si>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</si>
  <si>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</si>
  <si>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</si>
  <si>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</si>
  <si>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</si>
  <si>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</si>
  <si>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</si>
  <si>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</si>
  <si>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</si>
  <si>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</si>
  <si>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</si>
  <si>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</si>
  <si>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</si>
  <si>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</si>
  <si>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</si>
  <si>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</si>
  <si>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</si>
  <si>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</si>
  <si>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</si>
  <si>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</si>
  <si>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</si>
  <si>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</si>
  <si>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</si>
  <si>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</si>
  <si>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</si>
  <si>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</si>
  <si>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</si>
  <si>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</si>
  <si>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</si>
  <si>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</si>
  <si>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</si>
  <si>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</si>
  <si>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</si>
  <si>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</si>
  <si>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</si>
  <si>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</si>
  <si>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</si>
  <si>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</si>
  <si>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</si>
  <si>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</si>
  <si>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</si>
  <si>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</si>
  <si>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</si>
  <si>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</si>
  <si>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</si>
  <si>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</si>
  <si>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</si>
  <si>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</si>
  <si>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</si>
  <si>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</si>
  <si>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</si>
  <si>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</si>
  <si>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</si>
  <si>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</si>
  <si>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</si>
  <si>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</si>
  <si>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</si>
  <si>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</si>
  <si>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</si>
  <si>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</si>
  <si>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</si>
  <si>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</si>
  <si>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</si>
  <si>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</si>
  <si>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</si>
  <si>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</si>
  <si>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</si>
  <si>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</si>
  <si>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</si>
  <si>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</si>
  <si>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</si>
  <si>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</si>
  <si>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</si>
  <si>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</si>
  <si>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</si>
  <si>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</si>
  <si>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</si>
  <si>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</si>
  <si>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</si>
  <si>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</si>
  <si>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</si>
  <si>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</si>
  <si>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</si>
  <si>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</si>
  <si>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</si>
  <si>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</si>
  <si>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</si>
  <si>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</si>
  <si>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</si>
  <si>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</si>
  <si>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</si>
  <si>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</si>
  <si>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</si>
  <si>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</si>
  <si>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</si>
  <si>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</si>
  <si>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</si>
  <si>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</si>
  <si>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</si>
  <si>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</si>
  <si>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</si>
  <si>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</si>
  <si>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</si>
  <si>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</si>
  <si>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</si>
  <si>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</si>
  <si>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</si>
  <si>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</si>
  <si>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</si>
  <si>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</si>
  <si>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</si>
  <si>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</si>
  <si>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</si>
  <si>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</si>
  <si>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</si>
  <si>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</si>
  <si>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</si>
  <si>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</si>
  <si>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</si>
  <si>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</si>
  <si>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</si>
  <si>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</si>
  <si>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</si>
  <si>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</si>
  <si>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</si>
  <si>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</si>
  <si>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</si>
  <si>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</si>
  <si>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</si>
  <si>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</si>
  <si>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</si>
  <si>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</si>
  <si>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</si>
  <si>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</si>
  <si>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</si>
  <si>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</si>
  <si>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</si>
  <si>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</si>
  <si>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</si>
  <si>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</si>
  <si>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</si>
  <si>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</si>
  <si>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</si>
  <si>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</si>
  <si>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</si>
  <si>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</si>
  <si>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</si>
  <si>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</si>
  <si>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</si>
  <si>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</si>
  <si>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</si>
  <si>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</si>
  <si>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</si>
  <si>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</si>
  <si>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</si>
  <si>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</si>
  <si>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</si>
  <si>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</si>
  <si>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</si>
  <si>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</si>
  <si>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</si>
  <si>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</si>
  <si>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</si>
  <si>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</si>
  <si>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</si>
  <si>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</si>
  <si>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</si>
  <si>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</si>
  <si>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</si>
  <si>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</si>
  <si>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</si>
  <si>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</si>
  <si>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</si>
  <si>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</si>
  <si>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</si>
  <si>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</si>
  <si>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</si>
  <si>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</si>
  <si>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</si>
  <si>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</si>
  <si>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</si>
  <si>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</si>
  <si>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</si>
  <si>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</si>
  <si>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</si>
  <si>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</si>
  <si>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</si>
  <si>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</si>
  <si>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</si>
  <si>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</si>
  <si>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</si>
  <si>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</si>
  <si>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</si>
  <si>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</si>
  <si>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</si>
  <si>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</si>
  <si>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</si>
  <si>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</si>
  <si>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</si>
  <si>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</si>
  <si>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</si>
  <si>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</si>
  <si>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</si>
  <si>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</si>
  <si>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</si>
  <si>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</si>
  <si>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</si>
  <si>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</si>
  <si>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</si>
  <si>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</si>
  <si>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</si>
  <si>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</si>
  <si>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</si>
  <si>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</si>
  <si>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</si>
  <si>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</si>
  <si>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</si>
  <si>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</si>
  <si>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</si>
  <si>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</si>
  <si>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</si>
  <si>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</si>
  <si>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</si>
  <si>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</si>
  <si>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</si>
  <si>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</si>
  <si>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</si>
  <si>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</si>
  <si>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</si>
  <si>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</si>
  <si>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</si>
  <si>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</si>
  <si>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</si>
  <si>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</si>
  <si>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</si>
  <si>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</si>
  <si>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</si>
  <si>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</si>
  <si>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</si>
  <si>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</si>
  <si>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</si>
  <si>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</si>
  <si>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</si>
  <si>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</si>
  <si>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</si>
  <si>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</si>
  <si>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</si>
  <si>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</si>
  <si>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</si>
  <si>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</si>
  <si>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</si>
  <si>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</si>
  <si>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</si>
  <si>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</si>
  <si>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</si>
  <si>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</si>
  <si>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</si>
  <si>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</si>
  <si>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</si>
  <si>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</si>
  <si>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</si>
  <si>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</si>
  <si>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</si>
  <si>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</si>
  <si>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</si>
  <si>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</si>
  <si>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</si>
  <si>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</si>
  <si>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</si>
  <si>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</si>
  <si>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</si>
  <si>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</si>
  <si>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</si>
  <si>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</si>
  <si>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</si>
  <si>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</si>
  <si>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</si>
  <si>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</si>
  <si>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</si>
  <si>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</si>
  <si>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</si>
  <si>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</si>
  <si>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</si>
  <si>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</si>
  <si>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</si>
  <si>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</si>
  <si>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</si>
  <si>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</si>
  <si>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</si>
  <si>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</si>
  <si>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</si>
  <si>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</si>
  <si>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</si>
  <si>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</si>
  <si>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</si>
  <si>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</si>
  <si>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</si>
  <si>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</si>
  <si>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</si>
  <si>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</si>
  <si>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</si>
  <si>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</si>
  <si>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</si>
  <si>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</si>
  <si>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</si>
  <si>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</si>
  <si>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</si>
  <si>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</si>
  <si>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</si>
  <si>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</si>
  <si>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</si>
  <si>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</si>
  <si>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</si>
  <si>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</si>
  <si>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</si>
  <si>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</si>
  <si>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</si>
  <si>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</si>
  <si>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</si>
  <si>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</si>
  <si>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</si>
  <si>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</si>
  <si>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</si>
  <si>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</si>
  <si>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</si>
  <si>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</si>
  <si>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</si>
  <si>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</si>
  <si>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</si>
  <si>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</si>
  <si>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</si>
  <si>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</si>
  <si>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</si>
  <si>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</si>
  <si>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</si>
  <si>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</si>
  <si>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</si>
  <si>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</si>
  <si>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</si>
  <si>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</si>
  <si>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</si>
  <si>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</si>
  <si>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</si>
  <si>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</si>
  <si>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</si>
  <si>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</si>
  <si>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</si>
  <si>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</si>
  <si>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</si>
  <si>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</si>
  <si>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</si>
  <si>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</si>
  <si>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</si>
  <si>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</si>
  <si>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</si>
  <si>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</si>
  <si>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</si>
  <si>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</si>
  <si>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</si>
  <si>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</si>
  <si>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</si>
  <si>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</si>
  <si>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</si>
  <si>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</si>
  <si>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</si>
  <si>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</si>
  <si>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</si>
  <si>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</si>
  <si>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</si>
  <si>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</si>
  <si>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</si>
  <si>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</si>
  <si>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</si>
  <si>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</si>
  <si>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</si>
  <si>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</si>
  <si>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</si>
  <si>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</si>
  <si>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</si>
  <si>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</si>
  <si>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</si>
  <si>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</si>
  <si>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</si>
  <si>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</si>
  <si>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</si>
  <si>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</si>
  <si>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</si>
  <si>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</si>
  <si>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</si>
  <si>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</si>
  <si>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</si>
  <si>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</si>
  <si>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</si>
  <si>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</si>
  <si>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</si>
  <si>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</si>
  <si>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</si>
  <si>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</si>
  <si>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</si>
  <si>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</si>
  <si>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</si>
  <si>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</si>
  <si>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</si>
  <si>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</si>
  <si>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</si>
  <si>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</si>
  <si>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</si>
  <si>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</si>
  <si>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</si>
  <si>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</si>
  <si>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</si>
  <si>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</si>
  <si>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</si>
  <si>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</si>
  <si>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</si>
  <si>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</si>
  <si>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</si>
  <si>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</si>
  <si>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</si>
  <si>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</si>
  <si>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</si>
  <si>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</si>
  <si>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</si>
  <si>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</si>
  <si>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</si>
  <si>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</si>
  <si>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</si>
  <si>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</si>
  <si>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</si>
  <si>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</si>
  <si>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</si>
  <si>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</si>
  <si>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</si>
  <si>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</si>
  <si>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</si>
  <si>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</si>
  <si>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</si>
  <si>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</si>
  <si>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</si>
  <si>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</si>
  <si>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</si>
  <si>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</si>
  <si>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</si>
  <si>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</si>
  <si>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</si>
  <si>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</si>
  <si>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</si>
  <si>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</si>
  <si>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</si>
  <si>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</si>
  <si>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</si>
  <si>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</si>
  <si>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</si>
  <si>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</si>
  <si>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</si>
  <si>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</si>
  <si>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</si>
  <si>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</si>
  <si>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</si>
  <si>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</si>
  <si>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</si>
  <si>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</si>
  <si>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</si>
  <si>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</si>
  <si>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</si>
  <si>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</si>
  <si>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</si>
  <si>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</si>
  <si>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</si>
  <si>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</si>
  <si>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</si>
  <si>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</si>
  <si>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</si>
  <si>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</si>
  <si>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</si>
  <si>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</si>
  <si>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</si>
  <si>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</si>
  <si>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</si>
  <si>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</si>
  <si>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</si>
  <si>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</si>
  <si>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</si>
  <si>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</si>
  <si>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</si>
  <si>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</si>
  <si>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</si>
  <si>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</si>
  <si>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</si>
  <si>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</si>
  <si>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</si>
  <si>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</si>
  <si>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</si>
  <si>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</si>
  <si>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</si>
  <si>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</si>
  <si>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</si>
  <si>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</si>
  <si>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</si>
  <si>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</si>
  <si>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</si>
  <si>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</si>
  <si>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</si>
  <si>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</si>
  <si>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</si>
  <si>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</si>
  <si>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</si>
  <si>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</si>
  <si>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</si>
  <si>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</si>
  <si>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</si>
  <si>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</si>
  <si>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</si>
  <si>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</si>
  <si>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</si>
  <si>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</si>
  <si>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</si>
  <si>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</si>
  <si>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</si>
  <si>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</si>
  <si>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</si>
  <si>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</si>
  <si>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</si>
  <si>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</si>
  <si>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</si>
  <si>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</si>
  <si>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</si>
  <si>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</si>
  <si>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</si>
  <si>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</si>
  <si>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</si>
  <si>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</si>
  <si>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</si>
  <si>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</si>
  <si>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</si>
  <si>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</si>
  <si>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</si>
  <si>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</si>
  <si>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</si>
  <si>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</si>
  <si>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</si>
  <si>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</si>
  <si>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</si>
  <si>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</si>
  <si>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</si>
  <si>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</si>
  <si>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</si>
  <si>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</si>
  <si>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</si>
  <si>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</si>
  <si>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</si>
  <si>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</si>
  <si>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</si>
  <si>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</si>
  <si>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</si>
  <si>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</si>
  <si>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</si>
  <si>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</si>
  <si>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</si>
  <si>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</si>
  <si>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</si>
  <si>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</si>
  <si>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</si>
  <si>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</si>
  <si>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</si>
  <si>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</si>
  <si>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</si>
  <si>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</si>
  <si>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</si>
  <si>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</si>
  <si>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</si>
  <si>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</si>
  <si>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</si>
  <si>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</si>
  <si>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</si>
  <si>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</si>
  <si>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</si>
  <si>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</si>
  <si>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</si>
  <si>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</si>
  <si>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</si>
  <si>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</si>
  <si>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</si>
  <si>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</si>
  <si>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</si>
  <si>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</si>
  <si>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</si>
  <si>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</si>
  <si>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Recultados</t>
  </si>
  <si>
    <t>Genomics: Fecha Relizacion prueba</t>
  </si>
  <si>
    <t>GDPR-10</t>
  </si>
  <si>
    <t>GDPR-4</t>
  </si>
  <si>
    <t>Fecha GDPR-4</t>
  </si>
  <si>
    <t>Fecha GDPR-10</t>
  </si>
  <si>
    <t>Fecha de la prescripción</t>
  </si>
  <si>
    <t>Alelos</t>
  </si>
  <si>
    <t>Muestra</t>
  </si>
  <si>
    <t>Labsampleid</t>
  </si>
  <si>
    <t>Namelab</t>
  </si>
  <si>
    <t>Rs</t>
  </si>
  <si>
    <t>Value</t>
  </si>
  <si>
    <t>Alelo</t>
  </si>
  <si>
    <t>Fecha de la muestra</t>
  </si>
  <si>
    <t>Labolatorio</t>
  </si>
  <si>
    <t>Valor RS</t>
  </si>
  <si>
    <t>genomics_available</t>
  </si>
  <si>
    <t>Si el campo GDPR-4 p GDPR-10 = Sí</t>
  </si>
  <si>
    <t>Feccha GDPR4</t>
  </si>
  <si>
    <t>Médico</t>
  </si>
  <si>
    <t>Médico de la presccipción</t>
  </si>
  <si>
    <t>Tiene genomcis (sacado del paciente en konnect)</t>
  </si>
  <si>
    <t>Código muestra (sacado del paciente en konnect)</t>
  </si>
  <si>
    <t>Fecha de la obtención de los resultados</t>
  </si>
  <si>
    <t>Genomics: Fecha Compra paciente</t>
  </si>
  <si>
    <t>ica</t>
  </si>
  <si>
    <t>icc</t>
  </si>
  <si>
    <t>Identificador intern0</t>
  </si>
  <si>
    <t>Calculo valor</t>
  </si>
  <si>
    <t>Código de la muestra del paciente realcionado</t>
  </si>
  <si>
    <t>Identificador del paciente relacionado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</si>
</sst>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14" fontId="0" fillId="0" borderId="0" xfId="0" applyNumberFormat="1"/>
    <xf numFmtId="0" fontId="7" fillId="0" borderId="0" xfId="0" applyFont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4" fillId="0" borderId="0" xfId="0" applyFont="1"/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5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72A5A-40B6-43F4-AD21-732400A72AA5}" name="Table1" displayName="Table1" ref="A1:L14" totalsRowShown="0" headerRowDxfId="56" dataDxfId="55">
  <autoFilter ref="A1:L14" xr:uid="{7F272A5A-40B6-43F4-AD21-732400A72AA5}"/>
  <sortState xmlns:xlrd2="http://schemas.microsoft.com/office/spreadsheetml/2017/richdata2" ref="A2:L8">
    <sortCondition ref="B1:B8"/>
  </sortState>
  <tableColumns count="12">
    <tableColumn id="1" xr3:uid="{45CCE091-36BC-4AE7-9680-C1EBD35A26FE}" name="Entidad" dataDxfId="54"/>
    <tableColumn id="2" xr3:uid="{7B0D3D5B-76C0-4590-A81E-70B042B54E25}" name="Visible" dataDxfId="53"/>
    <tableColumn id="3" xr3:uid="{A54DA2FA-7B17-4859-BA14-84F714AD327C}" name="Varible /columna" dataDxfId="52"/>
    <tableColumn id="4" xr3:uid="{FC985220-B470-460A-84FF-26DD17E61A25}" name="descrip" dataDxfId="51"/>
    <tableColumn id="5" xr3:uid="{3E5BF0BE-12C9-4B49-ABEA-3F4782E55F55}" name="Unidad medida" dataDxfId="50"/>
    <tableColumn id="6" xr3:uid="{69803A8B-FEE2-4D99-973B-2FC816AB49CE}" name="Tipo de dato" dataDxfId="49"/>
    <tableColumn id="7" xr3:uid="{CB4EDB37-A46E-4302-929D-EFE36C69DE6F}" name="Opciones" dataDxfId="48"/>
    <tableColumn id="8" xr3:uid="{FCE4F8DF-FC1E-4803-93FC-9041D4075BE2}" name="Missings" dataDxfId="47"/>
    <tableColumn id="9" xr3:uid="{E7B28698-EA97-4931-ABF5-25611E05A31E}" name="% completado" dataDxfId="46"/>
    <tableColumn id="10" xr3:uid="{55436216-F0B0-4B88-A43C-2EC02D839FA1}" name="Fiabilidad" dataDxfId="45"/>
    <tableColumn id="11" xr3:uid="{8C5A87A7-4E7B-49A6-BA1E-F5A63E508CEA}" name="Relevancia Estudio" dataDxfId="44"/>
    <tableColumn id="12" xr3:uid="{452AA9D6-E1A0-4A14-AF72-DBF107FB1548}" name="Notas" dataDxfId="4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1F637-98DF-4E1D-A677-3A136C0B34D4}" name="Table3" displayName="Table3" ref="A1:L34" totalsRowShown="0" headerRowDxfId="42">
  <autoFilter ref="A1:L34" xr:uid="{9541F637-98DF-4E1D-A677-3A136C0B34D4}"/>
  <sortState xmlns:xlrd2="http://schemas.microsoft.com/office/spreadsheetml/2017/richdata2" ref="A2:L34">
    <sortCondition ref="B1:B34"/>
  </sortState>
  <tableColumns count="12">
    <tableColumn id="1" xr3:uid="{EA46F19A-C448-43FF-907D-30646AE31E02}" name="Entidad"/>
    <tableColumn id="2" xr3:uid="{5428A23B-9ECB-4B42-B771-210DE883B620}" name="Visible"/>
    <tableColumn id="3" xr3:uid="{38CDF180-C33E-4E9D-BA50-30653A4965A2}" name="Varible /columna"/>
    <tableColumn id="4" xr3:uid="{246BEF05-916B-4C6E-B9F0-549A9ADA3C3C}" name="descrip"/>
    <tableColumn id="5" xr3:uid="{1B944156-8B16-4D6B-86DA-719AB1DBC2DB}" name="Unidad medida"/>
    <tableColumn id="12" xr3:uid="{C5B0B79D-E1BB-4EEE-BB84-C8F78C74DA72}" name="Tipo de dato"/>
    <tableColumn id="11" xr3:uid="{4AFC22A2-042B-45EB-88BC-DA83DC4E9922}" name="Opciones"/>
    <tableColumn id="6" xr3:uid="{2604DE00-AF54-47F4-A29D-C7B604FC3FE7}" name="Missings"/>
    <tableColumn id="7" xr3:uid="{B96B346C-5637-4CBF-B09E-6CD43B693121}" name="% Completado" dataDxfId="41">
      <calculatedColumnFormula>($Q$2-H2)/$Q$2*100</calculatedColumnFormula>
    </tableColumn>
    <tableColumn id="8" xr3:uid="{32E80602-CAE4-4FCD-8087-E0A48CD4490B}" name="Fiabilidad" dataDxfId="40"/>
    <tableColumn id="9" xr3:uid="{52DBEBDA-045D-4C8E-898D-1E0BC9BE9AA9}" name="Relevancia Estudio"/>
    <tableColumn id="10" xr3:uid="{962C5466-4CFC-4F86-B8A8-E050191C27F7}" name="Notas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1B7B8-D935-4A67-87F5-618DE36F682C}" name="Table4" displayName="Table4" ref="A1:L64" totalsRowShown="0" headerRowDxfId="38" dataDxfId="37">
  <autoFilter ref="A1:L64" xr:uid="{D761B7B8-D935-4A67-87F5-618DE36F682C}"/>
  <sortState xmlns:xlrd2="http://schemas.microsoft.com/office/spreadsheetml/2017/richdata2" ref="A2:L63">
    <sortCondition ref="B1:B63"/>
  </sortState>
  <tableColumns count="12">
    <tableColumn id="1" xr3:uid="{070E8043-48D1-434C-882E-C460B00F94A2}" name="Entidad" dataDxfId="36"/>
    <tableColumn id="2" xr3:uid="{3AC2EEEC-DF43-4DA1-B442-C21D3E857115}" name="Visible" dataDxfId="35"/>
    <tableColumn id="3" xr3:uid="{55B2F52A-BF3E-4B63-9314-D042416A459D}" name="Varible /columna" dataDxfId="34"/>
    <tableColumn id="4" xr3:uid="{84FD631A-F48E-45CC-A9FC-3E2555AA30DB}" name="descrip" dataDxfId="33"/>
    <tableColumn id="5" xr3:uid="{4CA12E7F-295A-4FBA-B06A-E0B69FBE08BC}" name="Unidad medida" dataDxfId="32"/>
    <tableColumn id="6" xr3:uid="{63BDEB8E-916F-49F3-877A-0E0103AD5FE6}" name="Tipo de dato" dataDxfId="31"/>
    <tableColumn id="7" xr3:uid="{6FC07CAA-3A26-4917-908A-A147C956999D}" name="Opciones" dataDxfId="30"/>
    <tableColumn id="8" xr3:uid="{1187DBEE-D782-4C5A-BE13-F85775A15BA0}" name="Missings"/>
    <tableColumn id="9" xr3:uid="{552B2442-20EF-41F2-9EC4-C328D698DA8C}" name="% completado" dataDxfId="29">
      <calculatedColumnFormula>($O$2-H2)/$O$2*100</calculatedColumnFormula>
    </tableColumn>
    <tableColumn id="10" xr3:uid="{973F30C0-7630-4E0A-B5B9-FC5003AFA699}" name="Fiabilidad" dataDxfId="28"/>
    <tableColumn id="11" xr3:uid="{26B053DA-EA15-4E79-AF82-819DD0E48602}" name="Relevancia Estudio" dataDxfId="27"/>
    <tableColumn id="12" xr3:uid="{8D3EC608-7990-49F4-B014-5E808D484CC6}" name="Observaciones" dataDxfId="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24D34-AB35-4618-9D78-B735C844FEF6}" name="Table5" displayName="Table5" ref="A1:L15" totalsRowShown="0" headerRowDxfId="25" dataDxfId="24">
  <autoFilter ref="A1:L15" xr:uid="{87F24D34-AB35-4618-9D78-B735C844FEF6}"/>
  <sortState xmlns:xlrd2="http://schemas.microsoft.com/office/spreadsheetml/2017/richdata2" ref="A2:L15">
    <sortCondition ref="B1:B15"/>
  </sortState>
  <tableColumns count="12">
    <tableColumn id="1" xr3:uid="{2D986C75-849A-43DE-8EF4-62DA79384B21}" name="Entidad" dataDxfId="23"/>
    <tableColumn id="2" xr3:uid="{E5F36589-22DD-4F51-8313-64DB15EDB923}" name="Visible?" dataDxfId="22"/>
    <tableColumn id="3" xr3:uid="{19B9EF0A-926F-4D05-918B-41D7457F9CE1}" name="Varible /columna" dataDxfId="21"/>
    <tableColumn id="4" xr3:uid="{A3131A9D-5F31-4F32-8ECB-B4624F0C3F0C}" name="descrip" dataDxfId="20"/>
    <tableColumn id="5" xr3:uid="{F9422311-4499-45E5-BC8C-FDFAC50E5C73}" name="Unidad medida" dataDxfId="19"/>
    <tableColumn id="6" xr3:uid="{DA83678E-83D6-41AE-A77C-09D502807CC6}" name="Tipo de dato" dataDxfId="18"/>
    <tableColumn id="7" xr3:uid="{FD5F721C-DAF2-42C7-BBEA-1ABA7077B38B}" name="Opciones" dataDxfId="17"/>
    <tableColumn id="8" xr3:uid="{3F892335-41F1-41D3-86EE-F7EE75028D40}" name="Missings"/>
    <tableColumn id="9" xr3:uid="{BF0C2AA8-0129-4420-BEE5-350721CF13E3}" name="% Completado" dataDxfId="16" dataCellStyle="Neutral">
      <calculatedColumnFormula>($O$2-H2)/$O$2*100</calculatedColumnFormula>
    </tableColumn>
    <tableColumn id="10" xr3:uid="{28A469BA-FBC8-4358-A37F-29683B2E8F67}" name="Fiabilidad" dataDxfId="15"/>
    <tableColumn id="11" xr3:uid="{FF32B5B4-A916-471B-806D-6A71CD15D331}" name="Relevancia Estudio" dataDxfId="14"/>
    <tableColumn id="12" xr3:uid="{4EC51467-A2A8-4591-BBF0-C01DD452DB8B}" name="Observaciones" dataDxfId="13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F3E1-5735-4DFD-9E7E-AA6040EF51D9}" name="Table53" displayName="Table53" ref="A1:L8" totalsRowShown="0" headerRowDxfId="12" dataDxfId="11">
  <autoFilter ref="A1:L8" xr:uid="{87F24D34-AB35-4618-9D78-B735C844FEF6}"/>
  <sortState xmlns:xlrd2="http://schemas.microsoft.com/office/spreadsheetml/2017/richdata2" ref="A2:L8">
    <sortCondition ref="B1:B8"/>
  </sortState>
  <tableColumns count="12">
    <tableColumn id="1" xr3:uid="{36A43940-ED53-4108-8ED3-182937DD6C99}" name="Entidad" dataDxfId="10"/>
    <tableColumn id="2" xr3:uid="{6ACCEF4A-E41D-49B3-949F-90D4622F8394}" name="Visible?" dataDxfId="9"/>
    <tableColumn id="3" xr3:uid="{5080264A-A9D3-46CF-93C0-0E244D95506E}" name="Varible /columna" dataDxfId="8"/>
    <tableColumn id="4" xr3:uid="{262A5140-C1BD-40C9-AA48-8CBDD2549178}" name="descrip" dataDxfId="7"/>
    <tableColumn id="5" xr3:uid="{D08633EC-FFB4-4481-9F3B-62F9D27926B2}" name="Unidad medida" dataDxfId="6"/>
    <tableColumn id="6" xr3:uid="{44899BAA-CCBE-4C1E-9F18-8188003326F0}" name="Tipo de dato" dataDxfId="5"/>
    <tableColumn id="7" xr3:uid="{3E197431-857E-41CA-B593-465B667180E1}" name="Opciones" dataDxfId="4"/>
    <tableColumn id="8" xr3:uid="{9105EA93-B851-4F97-B373-6B68845B500F}" name="Missings"/>
    <tableColumn id="9" xr3:uid="{03F86114-418D-4D89-B73D-5D1E87A7BBA3}" name="% Completado" dataDxfId="3" dataCellStyle="Neutral"/>
    <tableColumn id="10" xr3:uid="{90E9E873-5774-4287-A30A-785B770C5A76}" name="Fiabilidad" dataDxfId="2"/>
    <tableColumn id="11" xr3:uid="{8F4A342B-7457-4357-B11D-42C631980289}" name="Relevancia Estudio" dataDxfId="1"/>
    <tableColumn id="12" xr3:uid="{DC156305-3D83-4C80-80D0-EBC1AD8B1C1B}" name="Observacion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233-8E0A-474E-AA6D-48F79F4B35CE}">
  <dimension ref="A1:P14"/>
  <sheetViews>
    <sheetView tabSelected="1" zoomScaleNormal="100" workbookViewId="0">
      <pane ySplit="1" topLeftCell="A2" activePane="bottomLeft" state="frozen"/>
      <selection pane="bottomLeft" activeCell="D14" sqref="D14"/>
    </sheetView>
  </sheetViews>
  <sheetFormatPr baseColWidth="10" defaultColWidth="10.88671875" defaultRowHeight="14.4" x14ac:dyDescent="0.3"/>
  <cols>
    <col min="1" max="1" width="10.5546875" style="3" customWidth="1"/>
    <col min="2" max="2" width="9.44140625" style="3" bestFit="1" customWidth="1"/>
    <col min="3" max="3" width="49" style="3" bestFit="1" customWidth="1"/>
    <col min="4" max="4" width="51.5546875" style="3" customWidth="1"/>
    <col min="5" max="5" width="16.6640625" style="3" customWidth="1"/>
    <col min="6" max="7" width="19.88671875" style="3" customWidth="1"/>
    <col min="8" max="8" width="10.88671875" style="3" customWidth="1"/>
    <col min="9" max="9" width="15.6640625" style="9" customWidth="1"/>
    <col min="10" max="10" width="11.88671875" style="3" customWidth="1"/>
    <col min="11" max="11" width="19.6640625" style="3" customWidth="1"/>
    <col min="12" max="12" width="10.88671875" style="3"/>
    <col min="13" max="13" width="13.44140625" style="3" customWidth="1"/>
    <col min="14" max="14" width="10.33203125" style="3" bestFit="1" customWidth="1"/>
    <col min="15" max="15" width="14.109375" style="3" bestFit="1" customWidth="1"/>
    <col min="16" max="16384" width="10.88671875" style="3"/>
  </cols>
  <sheetData>
    <row r="1" spans="1:16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 x14ac:dyDescent="0.3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 x14ac:dyDescent="0.3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 x14ac:dyDescent="0.3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 x14ac:dyDescent="0.3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 x14ac:dyDescent="0.3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 x14ac:dyDescent="0.3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 x14ac:dyDescent="0.3">
      <c r="A9" s="20" t="s">
        <v>15</v>
      </c>
      <c r="B9" s="3" t="s">
        <v>16</v>
      </c>
      <c r="C9" s="40" t="s">
        <v>644</v>
      </c>
      <c r="D9" s="3" t="s">
        <v>659</v>
      </c>
      <c r="E9" s="3" t="s">
        <v>19</v>
      </c>
      <c r="F9" s="3" t="s">
        <v>20</v>
      </c>
      <c r="G9" s="3" t="s">
        <v>28</v>
      </c>
      <c r="J9" s="27"/>
    </row>
    <row r="10" spans="1:16" x14ac:dyDescent="0.3">
      <c r="A10" s="20" t="s">
        <v>15</v>
      </c>
      <c r="B10" s="3" t="s">
        <v>16</v>
      </c>
      <c r="C10" s="3" t="s">
        <v>645</v>
      </c>
      <c r="D10" s="3" t="s">
        <v>660</v>
      </c>
      <c r="E10" s="3" t="s">
        <v>19</v>
      </c>
      <c r="F10" s="3" t="s">
        <v>38</v>
      </c>
      <c r="J10" s="27"/>
    </row>
    <row r="11" spans="1:16" x14ac:dyDescent="0.3">
      <c r="A11" s="20" t="s">
        <v>15</v>
      </c>
      <c r="B11" s="3" t="s">
        <v>16</v>
      </c>
      <c r="C11" s="41" t="s">
        <v>643</v>
      </c>
      <c r="D11" s="3" t="s">
        <v>659</v>
      </c>
      <c r="E11" s="3" t="s">
        <v>19</v>
      </c>
      <c r="F11" s="3" t="s">
        <v>20</v>
      </c>
      <c r="G11" s="3" t="s">
        <v>28</v>
      </c>
      <c r="J11" s="27"/>
    </row>
    <row r="12" spans="1:16" x14ac:dyDescent="0.3">
      <c r="A12" s="20" t="s">
        <v>15</v>
      </c>
      <c r="B12" s="3" t="s">
        <v>16</v>
      </c>
      <c r="C12" s="3" t="s">
        <v>646</v>
      </c>
      <c r="D12" s="3" t="s">
        <v>646</v>
      </c>
      <c r="E12" s="3" t="s">
        <v>19</v>
      </c>
      <c r="F12" s="3" t="s">
        <v>38</v>
      </c>
      <c r="J12" s="27"/>
    </row>
    <row r="13" spans="1:16" x14ac:dyDescent="0.3">
      <c r="A13" s="20" t="s">
        <v>15</v>
      </c>
      <c r="B13" s="3" t="s">
        <v>16</v>
      </c>
      <c r="C13" t="s">
        <v>658</v>
      </c>
      <c r="D13" s="3" t="s">
        <v>663</v>
      </c>
      <c r="E13" s="3" t="s">
        <v>19</v>
      </c>
      <c r="F13" s="3" t="s">
        <v>20</v>
      </c>
      <c r="G13" s="3" t="s">
        <v>28</v>
      </c>
      <c r="J13" s="27"/>
    </row>
    <row r="14" spans="1:16" x14ac:dyDescent="0.3">
      <c r="A14" s="20" t="s">
        <v>15</v>
      </c>
      <c r="B14" s="3" t="s">
        <v>16</v>
      </c>
      <c r="C14" t="s">
        <v>649</v>
      </c>
      <c r="D14" s="3" t="s">
        <v>664</v>
      </c>
      <c r="E14" s="3" t="s">
        <v>19</v>
      </c>
      <c r="F14" s="3" t="s">
        <v>20</v>
      </c>
      <c r="G14" s="3" t="s">
        <v>28</v>
      </c>
      <c r="J14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469-FDC2-4D75-9BCF-E499EB9F824A}">
  <dimension ref="A1:R34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11.109375" bestFit="1" customWidth="1"/>
    <col min="2" max="2" width="9.44140625" bestFit="1" customWidth="1"/>
    <col min="3" max="3" width="32.5546875" bestFit="1" customWidth="1"/>
    <col min="4" max="4" width="46.109375" bestFit="1" customWidth="1"/>
    <col min="5" max="5" width="17" bestFit="1" customWidth="1"/>
    <col min="6" max="6" width="19.6640625" bestFit="1" customWidth="1"/>
    <col min="7" max="7" width="40.5546875" customWidth="1"/>
    <col min="8" max="8" width="10.6640625" customWidth="1"/>
    <col min="9" max="9" width="15.6640625" style="10" customWidth="1"/>
    <col min="10" max="10" width="12" style="29" bestFit="1" customWidth="1"/>
    <col min="11" max="11" width="20.109375" bestFit="1" customWidth="1"/>
    <col min="12" max="12" width="8.44140625" style="5" bestFit="1" customWidth="1"/>
    <col min="17" max="17" width="1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 x14ac:dyDescent="0.3">
      <c r="A2" s="17" t="s">
        <v>40</v>
      </c>
      <c r="B2" t="s">
        <v>16</v>
      </c>
      <c r="C2" t="s">
        <v>40</v>
      </c>
      <c r="D2" t="s">
        <v>41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 x14ac:dyDescent="0.3">
      <c r="A3" s="17" t="s">
        <v>40</v>
      </c>
      <c r="B3" t="s">
        <v>16</v>
      </c>
      <c r="C3" t="s">
        <v>23</v>
      </c>
      <c r="D3" t="s">
        <v>42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 x14ac:dyDescent="0.3">
      <c r="A4" s="17" t="s">
        <v>40</v>
      </c>
      <c r="B4" t="s">
        <v>16</v>
      </c>
      <c r="C4" t="s">
        <v>43</v>
      </c>
      <c r="D4" t="s">
        <v>44</v>
      </c>
      <c r="E4" t="s">
        <v>19</v>
      </c>
      <c r="F4" t="s">
        <v>20</v>
      </c>
      <c r="G4" t="s">
        <v>45</v>
      </c>
      <c r="H4" s="17">
        <v>0</v>
      </c>
      <c r="I4" s="8">
        <f t="shared" si="0"/>
        <v>100</v>
      </c>
      <c r="J4" s="29" t="s">
        <v>21</v>
      </c>
      <c r="L4"/>
    </row>
    <row r="5" spans="1:18" x14ac:dyDescent="0.3">
      <c r="A5" s="17" t="s">
        <v>40</v>
      </c>
      <c r="B5" t="s">
        <v>16</v>
      </c>
      <c r="C5" t="s">
        <v>46</v>
      </c>
      <c r="D5" t="s">
        <v>46</v>
      </c>
      <c r="E5" t="s">
        <v>19</v>
      </c>
      <c r="F5" t="s">
        <v>20</v>
      </c>
      <c r="G5" t="s">
        <v>47</v>
      </c>
      <c r="H5" s="17">
        <v>7887</v>
      </c>
      <c r="I5" s="8">
        <f t="shared" si="0"/>
        <v>8.407850423876436</v>
      </c>
      <c r="J5" s="29" t="s">
        <v>48</v>
      </c>
      <c r="L5"/>
    </row>
    <row r="6" spans="1:18" x14ac:dyDescent="0.3">
      <c r="A6" s="17" t="s">
        <v>40</v>
      </c>
      <c r="B6" t="s">
        <v>16</v>
      </c>
      <c r="C6" t="s">
        <v>49</v>
      </c>
      <c r="D6" t="s">
        <v>49</v>
      </c>
      <c r="E6" t="s">
        <v>19</v>
      </c>
      <c r="F6" t="s">
        <v>50</v>
      </c>
      <c r="G6" t="s">
        <v>51</v>
      </c>
      <c r="H6" s="17">
        <v>8436</v>
      </c>
      <c r="I6" s="8">
        <f t="shared" si="0"/>
        <v>2.032284287539194</v>
      </c>
      <c r="J6" s="29" t="s">
        <v>48</v>
      </c>
      <c r="L6"/>
    </row>
    <row r="7" spans="1:18" x14ac:dyDescent="0.3">
      <c r="A7" s="17" t="s">
        <v>40</v>
      </c>
      <c r="B7" t="s">
        <v>16</v>
      </c>
      <c r="C7" t="s">
        <v>52</v>
      </c>
      <c r="D7" t="s">
        <v>52</v>
      </c>
      <c r="G7" t="s">
        <v>53</v>
      </c>
      <c r="H7" s="17">
        <v>8603</v>
      </c>
      <c r="I7" s="8">
        <f t="shared" si="0"/>
        <v>9.2904424573220304E-2</v>
      </c>
      <c r="J7" s="29" t="s">
        <v>54</v>
      </c>
      <c r="L7"/>
    </row>
    <row r="8" spans="1:18" x14ac:dyDescent="0.3">
      <c r="A8" s="17" t="s">
        <v>40</v>
      </c>
      <c r="B8" t="s">
        <v>16</v>
      </c>
      <c r="C8" t="s">
        <v>55</v>
      </c>
      <c r="D8" t="s">
        <v>55</v>
      </c>
      <c r="E8" t="s">
        <v>19</v>
      </c>
      <c r="F8" t="s">
        <v>20</v>
      </c>
      <c r="G8" t="s">
        <v>56</v>
      </c>
      <c r="H8" s="17">
        <v>8587</v>
      </c>
      <c r="I8" s="8">
        <f t="shared" si="0"/>
        <v>0.27871327371966093</v>
      </c>
      <c r="J8" s="29" t="s">
        <v>54</v>
      </c>
      <c r="L8"/>
    </row>
    <row r="9" spans="1:18" x14ac:dyDescent="0.3">
      <c r="A9" s="17" t="s">
        <v>40</v>
      </c>
      <c r="B9" t="s">
        <v>16</v>
      </c>
      <c r="C9" t="s">
        <v>57</v>
      </c>
      <c r="D9" t="s">
        <v>57</v>
      </c>
      <c r="E9" t="s">
        <v>19</v>
      </c>
      <c r="F9" t="s">
        <v>20</v>
      </c>
      <c r="G9" t="s">
        <v>53</v>
      </c>
      <c r="H9" s="17">
        <v>8604</v>
      </c>
      <c r="I9" s="8">
        <f t="shared" si="0"/>
        <v>8.1291371501567761E-2</v>
      </c>
      <c r="J9" s="29" t="s">
        <v>54</v>
      </c>
      <c r="L9"/>
    </row>
    <row r="10" spans="1:18" x14ac:dyDescent="0.3">
      <c r="A10" s="17" t="s">
        <v>40</v>
      </c>
      <c r="B10" t="s">
        <v>16</v>
      </c>
      <c r="C10" t="s">
        <v>58</v>
      </c>
      <c r="D10" t="s">
        <v>58</v>
      </c>
      <c r="E10" t="s">
        <v>19</v>
      </c>
      <c r="F10" t="s">
        <v>20</v>
      </c>
      <c r="G10" t="s">
        <v>47</v>
      </c>
      <c r="H10" s="17">
        <v>5992</v>
      </c>
      <c r="I10" s="8">
        <f t="shared" si="0"/>
        <v>30.414585994657994</v>
      </c>
      <c r="J10" s="29" t="s">
        <v>48</v>
      </c>
      <c r="L10"/>
    </row>
    <row r="11" spans="1:18" x14ac:dyDescent="0.3">
      <c r="A11" s="17" t="s">
        <v>40</v>
      </c>
      <c r="B11" t="s">
        <v>16</v>
      </c>
      <c r="C11" t="s">
        <v>59</v>
      </c>
      <c r="D11" t="s">
        <v>59</v>
      </c>
      <c r="E11" t="s">
        <v>19</v>
      </c>
      <c r="F11" t="s">
        <v>20</v>
      </c>
      <c r="G11" t="s">
        <v>60</v>
      </c>
      <c r="H11" s="17">
        <v>8572</v>
      </c>
      <c r="I11" s="8">
        <f t="shared" si="0"/>
        <v>0.452909069794449</v>
      </c>
      <c r="J11" s="29" t="s">
        <v>48</v>
      </c>
      <c r="L11"/>
    </row>
    <row r="12" spans="1:18" x14ac:dyDescent="0.3">
      <c r="A12" s="17" t="s">
        <v>40</v>
      </c>
      <c r="B12" t="s">
        <v>16</v>
      </c>
      <c r="C12" t="s">
        <v>61</v>
      </c>
      <c r="D12" t="s">
        <v>61</v>
      </c>
      <c r="E12" t="s">
        <v>19</v>
      </c>
      <c r="F12" t="s">
        <v>20</v>
      </c>
      <c r="G12" t="s">
        <v>53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 x14ac:dyDescent="0.3">
      <c r="A13" s="17" t="s">
        <v>40</v>
      </c>
      <c r="B13" t="s">
        <v>16</v>
      </c>
      <c r="C13" t="s">
        <v>62</v>
      </c>
      <c r="D13" t="s">
        <v>62</v>
      </c>
      <c r="E13" t="s">
        <v>19</v>
      </c>
      <c r="F13" t="s">
        <v>20</v>
      </c>
      <c r="G13" t="s">
        <v>53</v>
      </c>
      <c r="H13" s="17">
        <v>8604</v>
      </c>
      <c r="I13" s="8">
        <f t="shared" si="0"/>
        <v>8.1291371501567761E-2</v>
      </c>
      <c r="J13" s="29" t="s">
        <v>48</v>
      </c>
      <c r="L13"/>
    </row>
    <row r="14" spans="1:18" x14ac:dyDescent="0.3">
      <c r="A14" s="17" t="s">
        <v>40</v>
      </c>
      <c r="B14" t="s">
        <v>16</v>
      </c>
      <c r="C14" t="s">
        <v>63</v>
      </c>
      <c r="D14" t="s">
        <v>63</v>
      </c>
      <c r="E14" t="s">
        <v>19</v>
      </c>
      <c r="F14" t="s">
        <v>20</v>
      </c>
      <c r="G14" t="s">
        <v>53</v>
      </c>
      <c r="H14" s="17">
        <v>8558</v>
      </c>
      <c r="I14" s="8">
        <f t="shared" si="0"/>
        <v>0.61549181279758447</v>
      </c>
      <c r="J14" s="29" t="s">
        <v>48</v>
      </c>
      <c r="L14"/>
    </row>
    <row r="15" spans="1:18" x14ac:dyDescent="0.3">
      <c r="A15" s="17" t="s">
        <v>40</v>
      </c>
      <c r="B15" t="s">
        <v>16</v>
      </c>
      <c r="C15" t="s">
        <v>64</v>
      </c>
      <c r="D15" t="s">
        <v>64</v>
      </c>
      <c r="E15" t="s">
        <v>19</v>
      </c>
      <c r="F15" t="s">
        <v>20</v>
      </c>
      <c r="G15" t="s">
        <v>65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 x14ac:dyDescent="0.3">
      <c r="A16" s="17" t="s">
        <v>40</v>
      </c>
      <c r="B16" t="s">
        <v>16</v>
      </c>
      <c r="C16" t="s">
        <v>66</v>
      </c>
      <c r="D16" t="s">
        <v>66</v>
      </c>
      <c r="E16" t="s">
        <v>19</v>
      </c>
      <c r="F16" t="s">
        <v>20</v>
      </c>
      <c r="G16" t="s">
        <v>67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 x14ac:dyDescent="0.3">
      <c r="A17" s="17" t="s">
        <v>40</v>
      </c>
      <c r="B17" t="s">
        <v>16</v>
      </c>
      <c r="C17" t="s">
        <v>68</v>
      </c>
      <c r="D17" t="s">
        <v>68</v>
      </c>
      <c r="E17" t="s">
        <v>19</v>
      </c>
      <c r="F17" t="s">
        <v>20</v>
      </c>
      <c r="G17" t="s">
        <v>53</v>
      </c>
      <c r="H17" s="17">
        <v>8584</v>
      </c>
      <c r="I17" s="8">
        <f t="shared" si="0"/>
        <v>0.31355243293461849</v>
      </c>
      <c r="J17" s="29" t="s">
        <v>48</v>
      </c>
      <c r="L17"/>
    </row>
    <row r="18" spans="1:12" x14ac:dyDescent="0.3">
      <c r="A18" s="17" t="s">
        <v>40</v>
      </c>
      <c r="B18" t="s">
        <v>16</v>
      </c>
      <c r="C18" t="s">
        <v>69</v>
      </c>
      <c r="D18" t="s">
        <v>69</v>
      </c>
      <c r="E18" t="s">
        <v>19</v>
      </c>
      <c r="F18" t="s">
        <v>20</v>
      </c>
      <c r="G18" t="s">
        <v>70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 x14ac:dyDescent="0.3">
      <c r="A19" s="17" t="s">
        <v>40</v>
      </c>
      <c r="B19" t="s">
        <v>16</v>
      </c>
      <c r="C19" t="s">
        <v>71</v>
      </c>
      <c r="D19" t="s">
        <v>71</v>
      </c>
      <c r="E19" t="s">
        <v>19</v>
      </c>
      <c r="F19" t="s">
        <v>20</v>
      </c>
      <c r="G19" t="s">
        <v>72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 x14ac:dyDescent="0.3">
      <c r="A20" s="17" t="s">
        <v>40</v>
      </c>
      <c r="B20" t="s">
        <v>16</v>
      </c>
      <c r="C20" t="s">
        <v>73</v>
      </c>
      <c r="D20" t="s">
        <v>73</v>
      </c>
      <c r="E20" t="s">
        <v>19</v>
      </c>
      <c r="F20" t="s">
        <v>20</v>
      </c>
      <c r="G20" t="s">
        <v>74</v>
      </c>
      <c r="H20" s="17">
        <v>8598</v>
      </c>
      <c r="I20" s="8">
        <f t="shared" si="0"/>
        <v>0.15096968993148299</v>
      </c>
      <c r="J20" s="29" t="s">
        <v>48</v>
      </c>
      <c r="L20"/>
    </row>
    <row r="21" spans="1:12" x14ac:dyDescent="0.3">
      <c r="A21" s="17" t="s">
        <v>40</v>
      </c>
      <c r="B21" t="s">
        <v>16</v>
      </c>
      <c r="C21" t="s">
        <v>75</v>
      </c>
      <c r="D21" t="s">
        <v>76</v>
      </c>
      <c r="E21" t="s">
        <v>19</v>
      </c>
      <c r="F21" t="s">
        <v>20</v>
      </c>
      <c r="G21" t="s">
        <v>74</v>
      </c>
      <c r="H21" s="17">
        <v>8472</v>
      </c>
      <c r="I21" s="8">
        <f t="shared" si="0"/>
        <v>1.6142143769597026</v>
      </c>
      <c r="J21" s="29" t="s">
        <v>48</v>
      </c>
      <c r="L21"/>
    </row>
    <row r="22" spans="1:12" x14ac:dyDescent="0.3">
      <c r="A22" s="17" t="s">
        <v>40</v>
      </c>
      <c r="B22" t="s">
        <v>16</v>
      </c>
      <c r="C22" t="s">
        <v>77</v>
      </c>
      <c r="D22" t="s">
        <v>77</v>
      </c>
      <c r="E22" t="s">
        <v>19</v>
      </c>
      <c r="F22" t="s">
        <v>78</v>
      </c>
      <c r="G22" t="s">
        <v>79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 x14ac:dyDescent="0.3">
      <c r="A23" s="17" t="s">
        <v>40</v>
      </c>
      <c r="B23" t="s">
        <v>16</v>
      </c>
      <c r="C23" t="s">
        <v>80</v>
      </c>
      <c r="D23" t="s">
        <v>80</v>
      </c>
      <c r="E23" t="s">
        <v>19</v>
      </c>
      <c r="F23" t="s">
        <v>78</v>
      </c>
      <c r="G23" t="s">
        <v>81</v>
      </c>
      <c r="H23" s="17">
        <v>0</v>
      </c>
      <c r="I23" s="19">
        <f t="shared" si="0"/>
        <v>100</v>
      </c>
      <c r="J23" s="29" t="s">
        <v>21</v>
      </c>
      <c r="L23" s="6"/>
    </row>
    <row r="24" spans="1:12" x14ac:dyDescent="0.3">
      <c r="A24" s="17" t="s">
        <v>40</v>
      </c>
      <c r="B24" t="s">
        <v>16</v>
      </c>
      <c r="C24" t="s">
        <v>82</v>
      </c>
      <c r="D24" t="s">
        <v>82</v>
      </c>
      <c r="E24" t="s">
        <v>19</v>
      </c>
      <c r="F24" t="s">
        <v>78</v>
      </c>
      <c r="G24" t="s">
        <v>83</v>
      </c>
      <c r="H24" s="17">
        <v>8604</v>
      </c>
      <c r="I24" s="8">
        <f t="shared" si="0"/>
        <v>8.1291371501567761E-2</v>
      </c>
      <c r="J24" s="29" t="s">
        <v>54</v>
      </c>
      <c r="L24"/>
    </row>
    <row r="25" spans="1:12" x14ac:dyDescent="0.3">
      <c r="A25" s="17" t="s">
        <v>40</v>
      </c>
      <c r="B25" t="s">
        <v>16</v>
      </c>
      <c r="C25" t="s">
        <v>84</v>
      </c>
      <c r="D25" t="s">
        <v>85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 x14ac:dyDescent="0.3">
      <c r="A26" s="17" t="s">
        <v>40</v>
      </c>
      <c r="B26" t="s">
        <v>16</v>
      </c>
      <c r="C26" t="s">
        <v>86</v>
      </c>
      <c r="D26" t="s">
        <v>86</v>
      </c>
      <c r="E26" t="s">
        <v>19</v>
      </c>
      <c r="F26" t="s">
        <v>78</v>
      </c>
      <c r="G26" t="s">
        <v>83</v>
      </c>
      <c r="H26" s="17">
        <v>8604</v>
      </c>
      <c r="I26" s="8">
        <f t="shared" si="0"/>
        <v>8.1291371501567761E-2</v>
      </c>
      <c r="J26" s="29" t="s">
        <v>54</v>
      </c>
      <c r="L26"/>
    </row>
    <row r="27" spans="1:12" x14ac:dyDescent="0.3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 x14ac:dyDescent="0.3">
      <c r="A28" s="17" t="s">
        <v>40</v>
      </c>
      <c r="B28" t="s">
        <v>16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 x14ac:dyDescent="0.3">
      <c r="A29" s="17" t="s">
        <v>40</v>
      </c>
      <c r="B29" t="s">
        <v>16</v>
      </c>
      <c r="C29" t="s">
        <v>92</v>
      </c>
      <c r="D29" t="s">
        <v>93</v>
      </c>
      <c r="E29" t="s">
        <v>94</v>
      </c>
      <c r="F29" t="s">
        <v>90</v>
      </c>
      <c r="G29" t="s">
        <v>95</v>
      </c>
      <c r="H29" s="17">
        <v>1191</v>
      </c>
      <c r="I29" s="8">
        <f t="shared" si="0"/>
        <v>86.168853791661832</v>
      </c>
      <c r="J29" s="29" t="s">
        <v>54</v>
      </c>
      <c r="L29"/>
    </row>
    <row r="30" spans="1:12" x14ac:dyDescent="0.3">
      <c r="A30" s="17" t="s">
        <v>40</v>
      </c>
      <c r="B30" t="s">
        <v>16</v>
      </c>
      <c r="C30" t="s">
        <v>96</v>
      </c>
      <c r="D30" t="s">
        <v>97</v>
      </c>
      <c r="E30" t="s">
        <v>94</v>
      </c>
      <c r="F30" t="s">
        <v>90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 x14ac:dyDescent="0.3">
      <c r="A31" s="17" t="s">
        <v>40</v>
      </c>
      <c r="B31" t="s">
        <v>16</v>
      </c>
      <c r="C31" t="s">
        <v>98</v>
      </c>
      <c r="E31" t="s">
        <v>19</v>
      </c>
      <c r="F31" t="s">
        <v>78</v>
      </c>
      <c r="G31" t="s">
        <v>83</v>
      </c>
      <c r="H31" s="17">
        <v>8603</v>
      </c>
      <c r="I31" s="8">
        <f t="shared" si="0"/>
        <v>9.2904424573220304E-2</v>
      </c>
      <c r="J31" s="29" t="s">
        <v>54</v>
      </c>
      <c r="L31"/>
    </row>
    <row r="32" spans="1:12" x14ac:dyDescent="0.3">
      <c r="A32" s="17" t="s">
        <v>40</v>
      </c>
      <c r="B32" t="s">
        <v>16</v>
      </c>
      <c r="C32" t="s">
        <v>99</v>
      </c>
      <c r="D32" t="s">
        <v>100</v>
      </c>
      <c r="E32" t="s">
        <v>19</v>
      </c>
      <c r="F32" t="s">
        <v>78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 x14ac:dyDescent="0.3">
      <c r="A33" s="17" t="s">
        <v>40</v>
      </c>
      <c r="B33" t="s">
        <v>16</v>
      </c>
      <c r="C33" t="s">
        <v>101</v>
      </c>
      <c r="D33" t="s">
        <v>102</v>
      </c>
      <c r="E33" t="s">
        <v>19</v>
      </c>
      <c r="F33" t="s">
        <v>78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 x14ac:dyDescent="0.3">
      <c r="A34" s="17" t="s">
        <v>40</v>
      </c>
      <c r="B34" t="s">
        <v>16</v>
      </c>
      <c r="C34" t="s">
        <v>103</v>
      </c>
      <c r="D34" t="s">
        <v>103</v>
      </c>
      <c r="E34" t="s">
        <v>19</v>
      </c>
      <c r="F34" t="s">
        <v>20</v>
      </c>
      <c r="G34" t="s">
        <v>104</v>
      </c>
      <c r="H34" s="17">
        <v>7815</v>
      </c>
      <c r="I34" s="8">
        <f t="shared" si="0"/>
        <v>9.2439902450354197</v>
      </c>
      <c r="J34" s="29" t="s">
        <v>54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F01-0755-410B-BABF-C6F7F7CC99F7}">
  <dimension ref="A1:P64"/>
  <sheetViews>
    <sheetView zoomScaleNormal="100" workbookViewId="0">
      <pane ySplit="1" topLeftCell="A4" activePane="bottomLeft" state="frozen"/>
      <selection pane="bottomLeft" activeCell="D5" sqref="D5"/>
    </sheetView>
  </sheetViews>
  <sheetFormatPr baseColWidth="10" defaultColWidth="11.44140625" defaultRowHeight="14.4" x14ac:dyDescent="0.3"/>
  <cols>
    <col min="1" max="1" width="11.88671875" bestFit="1" customWidth="1"/>
    <col min="2" max="2" width="9.44140625" bestFit="1" customWidth="1"/>
    <col min="3" max="3" width="37.44140625" customWidth="1"/>
    <col min="4" max="4" width="100.6640625" bestFit="1" customWidth="1"/>
    <col min="5" max="5" width="17" bestFit="1" customWidth="1"/>
    <col min="6" max="6" width="19.6640625" bestFit="1" customWidth="1"/>
    <col min="7" max="7" width="15.6640625" customWidth="1"/>
    <col min="8" max="8" width="10.88671875" bestFit="1" customWidth="1"/>
    <col min="9" max="9" width="15.6640625" style="10" customWidth="1"/>
    <col min="10" max="10" width="11.88671875" style="31" customWidth="1"/>
    <col min="11" max="11" width="19.6640625" customWidth="1"/>
    <col min="12" max="12" width="105.109375" bestFit="1" customWidth="1"/>
    <col min="15" max="15" width="18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3">
      <c r="A2" t="s">
        <v>106</v>
      </c>
      <c r="B2" t="s">
        <v>16</v>
      </c>
      <c r="C2" t="s">
        <v>107</v>
      </c>
      <c r="D2" t="s">
        <v>108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28.8" x14ac:dyDescent="0.3">
      <c r="A3" t="s">
        <v>106</v>
      </c>
      <c r="B3" t="s">
        <v>16</v>
      </c>
      <c r="C3" s="36" t="s">
        <v>23</v>
      </c>
      <c r="D3" s="35" t="s">
        <v>638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 x14ac:dyDescent="0.3">
      <c r="A4" t="s">
        <v>106</v>
      </c>
      <c r="B4" t="s">
        <v>16</v>
      </c>
      <c r="C4" t="s">
        <v>40</v>
      </c>
      <c r="D4" t="s">
        <v>109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 x14ac:dyDescent="0.3">
      <c r="A5" t="s">
        <v>106</v>
      </c>
      <c r="B5" t="s">
        <v>16</v>
      </c>
      <c r="C5" t="s">
        <v>110</v>
      </c>
      <c r="D5" t="s">
        <v>111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 x14ac:dyDescent="0.3">
      <c r="A6" t="s">
        <v>106</v>
      </c>
      <c r="B6" t="s">
        <v>16</v>
      </c>
      <c r="C6" t="s">
        <v>112</v>
      </c>
      <c r="D6" t="s">
        <v>113</v>
      </c>
      <c r="E6" t="s">
        <v>19</v>
      </c>
      <c r="F6" s="3" t="s">
        <v>20</v>
      </c>
      <c r="G6" t="s">
        <v>53</v>
      </c>
      <c r="H6" s="17">
        <v>0</v>
      </c>
      <c r="I6" s="8">
        <f t="shared" si="0"/>
        <v>100</v>
      </c>
      <c r="J6" s="31" t="s">
        <v>21</v>
      </c>
    </row>
    <row r="7" spans="1:16" x14ac:dyDescent="0.3">
      <c r="A7" t="s">
        <v>106</v>
      </c>
      <c r="B7" t="s">
        <v>16</v>
      </c>
      <c r="C7" t="s">
        <v>114</v>
      </c>
      <c r="D7" t="s">
        <v>115</v>
      </c>
      <c r="E7" t="s">
        <v>19</v>
      </c>
      <c r="F7" s="3" t="s">
        <v>20</v>
      </c>
      <c r="G7" t="s">
        <v>53</v>
      </c>
      <c r="H7" s="17">
        <v>0</v>
      </c>
      <c r="I7" s="8">
        <f t="shared" si="0"/>
        <v>100</v>
      </c>
      <c r="J7" s="31" t="s">
        <v>21</v>
      </c>
    </row>
    <row r="8" spans="1:16" s="14" customFormat="1" x14ac:dyDescent="0.3">
      <c r="A8" t="s">
        <v>106</v>
      </c>
      <c r="B8" t="s">
        <v>16</v>
      </c>
      <c r="C8" t="s">
        <v>116</v>
      </c>
      <c r="D8" t="s">
        <v>117</v>
      </c>
      <c r="E8" t="s">
        <v>19</v>
      </c>
      <c r="F8" s="3" t="s">
        <v>20</v>
      </c>
      <c r="G8" t="s">
        <v>53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 x14ac:dyDescent="0.3">
      <c r="A9" t="s">
        <v>106</v>
      </c>
      <c r="B9" t="s">
        <v>16</v>
      </c>
      <c r="C9" t="s">
        <v>118</v>
      </c>
      <c r="D9" t="s">
        <v>119</v>
      </c>
      <c r="E9" t="s">
        <v>19</v>
      </c>
      <c r="F9" s="3" t="s">
        <v>20</v>
      </c>
      <c r="G9" t="s">
        <v>53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 x14ac:dyDescent="0.3">
      <c r="A10" t="s">
        <v>106</v>
      </c>
      <c r="B10" t="s">
        <v>16</v>
      </c>
      <c r="C10" t="s">
        <v>120</v>
      </c>
      <c r="D10" t="s">
        <v>121</v>
      </c>
      <c r="E10" t="s">
        <v>19</v>
      </c>
      <c r="F10" s="3" t="s">
        <v>20</v>
      </c>
      <c r="G10" t="s">
        <v>53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 x14ac:dyDescent="0.3">
      <c r="A11" t="s">
        <v>106</v>
      </c>
      <c r="B11" t="s">
        <v>16</v>
      </c>
      <c r="C11" t="s">
        <v>122</v>
      </c>
      <c r="D11" t="s">
        <v>123</v>
      </c>
      <c r="E11" t="s">
        <v>19</v>
      </c>
      <c r="F11" s="3" t="s">
        <v>20</v>
      </c>
      <c r="G11" t="s">
        <v>53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 x14ac:dyDescent="0.3">
      <c r="A12" t="s">
        <v>106</v>
      </c>
      <c r="B12" t="s">
        <v>16</v>
      </c>
      <c r="C12" s="36" t="s">
        <v>124</v>
      </c>
      <c r="D12" s="34" t="s">
        <v>639</v>
      </c>
      <c r="E12" t="s">
        <v>19</v>
      </c>
      <c r="F12" s="3" t="s">
        <v>20</v>
      </c>
      <c r="G12" t="s">
        <v>53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 x14ac:dyDescent="0.3">
      <c r="A13" t="s">
        <v>106</v>
      </c>
      <c r="B13" t="s">
        <v>16</v>
      </c>
      <c r="C13" t="s">
        <v>640</v>
      </c>
      <c r="D13" s="34" t="s">
        <v>647</v>
      </c>
      <c r="E13" s="22" t="s">
        <v>19</v>
      </c>
      <c r="F13" s="23" t="s">
        <v>25</v>
      </c>
      <c r="G13" s="23" t="s">
        <v>19</v>
      </c>
      <c r="H13" s="37"/>
      <c r="I13" s="25">
        <f>($O$2-H13)/$O$2*100</f>
        <v>100</v>
      </c>
      <c r="J13" s="31"/>
      <c r="K13"/>
      <c r="L13"/>
    </row>
    <row r="14" spans="1:16" s="14" customFormat="1" x14ac:dyDescent="0.3">
      <c r="A14" t="s">
        <v>106</v>
      </c>
      <c r="B14" t="s">
        <v>16</v>
      </c>
      <c r="C14" t="s">
        <v>666</v>
      </c>
      <c r="D14" s="34" t="s">
        <v>637</v>
      </c>
      <c r="E14" s="22" t="s">
        <v>19</v>
      </c>
      <c r="F14" s="23" t="s">
        <v>25</v>
      </c>
      <c r="G14" s="23" t="s">
        <v>19</v>
      </c>
      <c r="H14" s="37"/>
      <c r="I14" s="25">
        <f>($O$2-H14)/$O$2*100</f>
        <v>100</v>
      </c>
      <c r="J14" s="31"/>
      <c r="K14"/>
      <c r="L14"/>
    </row>
    <row r="15" spans="1:16" s="14" customFormat="1" ht="16.8" x14ac:dyDescent="0.4">
      <c r="A15" t="s">
        <v>106</v>
      </c>
      <c r="B15" t="s">
        <v>16</v>
      </c>
      <c r="C15" t="s">
        <v>642</v>
      </c>
      <c r="D15" s="38" t="s">
        <v>655</v>
      </c>
      <c r="E15" s="22" t="s">
        <v>19</v>
      </c>
      <c r="F15" s="23" t="s">
        <v>25</v>
      </c>
      <c r="G15" s="23" t="s">
        <v>19</v>
      </c>
      <c r="H15" s="37"/>
      <c r="I15" s="25">
        <f>($O$2-H15)/$O$2*100</f>
        <v>100</v>
      </c>
      <c r="J15" s="31"/>
      <c r="K15"/>
      <c r="L15"/>
    </row>
    <row r="16" spans="1:16" s="14" customFormat="1" x14ac:dyDescent="0.3">
      <c r="A16" t="s">
        <v>106</v>
      </c>
      <c r="B16" t="s">
        <v>16</v>
      </c>
      <c r="C16" t="s">
        <v>641</v>
      </c>
      <c r="D16" s="34" t="s">
        <v>665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 x14ac:dyDescent="0.3">
      <c r="A17" t="s">
        <v>106</v>
      </c>
      <c r="B17" t="s">
        <v>16</v>
      </c>
      <c r="C17" t="s">
        <v>125</v>
      </c>
      <c r="D17" t="s">
        <v>126</v>
      </c>
      <c r="E17" t="s">
        <v>19</v>
      </c>
      <c r="F17" s="3" t="s">
        <v>20</v>
      </c>
      <c r="G17" t="s">
        <v>53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 x14ac:dyDescent="0.3">
      <c r="A18" t="s">
        <v>106</v>
      </c>
      <c r="B18" t="s">
        <v>16</v>
      </c>
      <c r="C18" t="s">
        <v>127</v>
      </c>
      <c r="D18" t="s">
        <v>128</v>
      </c>
      <c r="E18" t="s">
        <v>19</v>
      </c>
      <c r="F18" s="3" t="s">
        <v>20</v>
      </c>
      <c r="G18" t="s">
        <v>53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 x14ac:dyDescent="0.3">
      <c r="A19" t="s">
        <v>106</v>
      </c>
      <c r="B19" t="s">
        <v>16</v>
      </c>
      <c r="C19" t="s">
        <v>129</v>
      </c>
      <c r="D19" t="s">
        <v>130</v>
      </c>
      <c r="E19" t="s">
        <v>19</v>
      </c>
      <c r="F19" s="3" t="s">
        <v>20</v>
      </c>
      <c r="G19" t="s">
        <v>53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 x14ac:dyDescent="0.3">
      <c r="A20" t="s">
        <v>106</v>
      </c>
      <c r="B20" t="s">
        <v>16</v>
      </c>
      <c r="C20" t="s">
        <v>131</v>
      </c>
      <c r="D20" t="s">
        <v>132</v>
      </c>
      <c r="E20" t="s">
        <v>19</v>
      </c>
      <c r="F20" s="3" t="s">
        <v>20</v>
      </c>
      <c r="G20" t="s">
        <v>53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 x14ac:dyDescent="0.3">
      <c r="A21" t="s">
        <v>106</v>
      </c>
      <c r="B21" t="s">
        <v>16</v>
      </c>
      <c r="C21" t="s">
        <v>133</v>
      </c>
      <c r="D21" t="s">
        <v>134</v>
      </c>
      <c r="E21" t="s">
        <v>19</v>
      </c>
      <c r="F21" s="3" t="s">
        <v>20</v>
      </c>
      <c r="G21" t="s">
        <v>53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 x14ac:dyDescent="0.3">
      <c r="A22" t="s">
        <v>106</v>
      </c>
      <c r="B22" t="s">
        <v>16</v>
      </c>
      <c r="C22" t="s">
        <v>135</v>
      </c>
      <c r="D22" t="s">
        <v>136</v>
      </c>
      <c r="E22" t="s">
        <v>19</v>
      </c>
      <c r="F22" s="3" t="s">
        <v>20</v>
      </c>
      <c r="G22" t="s">
        <v>53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 x14ac:dyDescent="0.3">
      <c r="A23" t="s">
        <v>106</v>
      </c>
      <c r="B23" t="s">
        <v>16</v>
      </c>
      <c r="C23" t="s">
        <v>137</v>
      </c>
      <c r="D23" t="s">
        <v>138</v>
      </c>
      <c r="E23" t="s">
        <v>19</v>
      </c>
      <c r="F23" s="3" t="s">
        <v>20</v>
      </c>
      <c r="G23" t="s">
        <v>53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 x14ac:dyDescent="0.3">
      <c r="A24" t="s">
        <v>106</v>
      </c>
      <c r="B24" t="s">
        <v>16</v>
      </c>
      <c r="C24" t="s">
        <v>139</v>
      </c>
      <c r="D24" t="s">
        <v>140</v>
      </c>
      <c r="E24" t="s">
        <v>19</v>
      </c>
      <c r="F24" s="3" t="s">
        <v>20</v>
      </c>
      <c r="G24" t="s">
        <v>53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 x14ac:dyDescent="0.3">
      <c r="A25" t="s">
        <v>106</v>
      </c>
      <c r="B25" t="s">
        <v>16</v>
      </c>
      <c r="C25" t="s">
        <v>141</v>
      </c>
      <c r="D25" t="s">
        <v>142</v>
      </c>
      <c r="E25" t="s">
        <v>19</v>
      </c>
      <c r="F25" s="3" t="s">
        <v>20</v>
      </c>
      <c r="G25" t="s">
        <v>53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 x14ac:dyDescent="0.3">
      <c r="A26" t="s">
        <v>106</v>
      </c>
      <c r="B26" t="s">
        <v>16</v>
      </c>
      <c r="C26" t="s">
        <v>143</v>
      </c>
      <c r="D26" t="s">
        <v>144</v>
      </c>
      <c r="E26" t="s">
        <v>19</v>
      </c>
      <c r="F26" s="3" t="s">
        <v>20</v>
      </c>
      <c r="G26" t="s">
        <v>53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 x14ac:dyDescent="0.3">
      <c r="A27" t="s">
        <v>106</v>
      </c>
      <c r="B27" t="s">
        <v>16</v>
      </c>
      <c r="C27" t="s">
        <v>145</v>
      </c>
      <c r="D27" t="s">
        <v>146</v>
      </c>
      <c r="E27" t="s">
        <v>19</v>
      </c>
      <c r="F27" s="3" t="s">
        <v>20</v>
      </c>
      <c r="G27" t="s">
        <v>53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 x14ac:dyDescent="0.3">
      <c r="A28" t="s">
        <v>106</v>
      </c>
      <c r="B28" t="s">
        <v>16</v>
      </c>
      <c r="C28" t="s">
        <v>147</v>
      </c>
      <c r="D28" t="s">
        <v>148</v>
      </c>
      <c r="E28" t="s">
        <v>19</v>
      </c>
      <c r="F28" s="3" t="s">
        <v>20</v>
      </c>
      <c r="G28" t="s">
        <v>53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 x14ac:dyDescent="0.3">
      <c r="A29" t="s">
        <v>106</v>
      </c>
      <c r="B29" t="s">
        <v>16</v>
      </c>
      <c r="C29" t="s">
        <v>149</v>
      </c>
      <c r="D29" t="s">
        <v>150</v>
      </c>
      <c r="E29" t="s">
        <v>19</v>
      </c>
      <c r="F29" s="3" t="s">
        <v>20</v>
      </c>
      <c r="G29" t="s">
        <v>53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 x14ac:dyDescent="0.3">
      <c r="A30" t="s">
        <v>106</v>
      </c>
      <c r="B30" t="s">
        <v>16</v>
      </c>
      <c r="C30" t="s">
        <v>151</v>
      </c>
      <c r="D30" t="s">
        <v>152</v>
      </c>
      <c r="E30" t="s">
        <v>19</v>
      </c>
      <c r="F30" s="3" t="s">
        <v>20</v>
      </c>
      <c r="G30" t="s">
        <v>53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 x14ac:dyDescent="0.3">
      <c r="A31" t="s">
        <v>106</v>
      </c>
      <c r="B31" t="s">
        <v>16</v>
      </c>
      <c r="C31" t="s">
        <v>153</v>
      </c>
      <c r="D31" t="s">
        <v>154</v>
      </c>
      <c r="E31" t="s">
        <v>19</v>
      </c>
      <c r="F31" s="3" t="s">
        <v>20</v>
      </c>
      <c r="G31" t="s">
        <v>53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 x14ac:dyDescent="0.3">
      <c r="A32" t="s">
        <v>106</v>
      </c>
      <c r="B32" t="s">
        <v>16</v>
      </c>
      <c r="C32" t="s">
        <v>155</v>
      </c>
      <c r="D32" t="s">
        <v>156</v>
      </c>
      <c r="E32" t="s">
        <v>19</v>
      </c>
      <c r="F32" s="3" t="s">
        <v>20</v>
      </c>
      <c r="G32" t="s">
        <v>53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 x14ac:dyDescent="0.3">
      <c r="A33" t="s">
        <v>106</v>
      </c>
      <c r="B33" t="s">
        <v>16</v>
      </c>
      <c r="C33" t="s">
        <v>157</v>
      </c>
      <c r="D33" t="s">
        <v>158</v>
      </c>
      <c r="E33" t="s">
        <v>19</v>
      </c>
      <c r="F33" s="3" t="s">
        <v>20</v>
      </c>
      <c r="G33" t="s">
        <v>53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 x14ac:dyDescent="0.3">
      <c r="A34" t="s">
        <v>106</v>
      </c>
      <c r="B34" t="s">
        <v>16</v>
      </c>
      <c r="C34" t="s">
        <v>159</v>
      </c>
      <c r="D34" t="s">
        <v>160</v>
      </c>
      <c r="E34" t="s">
        <v>19</v>
      </c>
      <c r="F34" s="3" t="s">
        <v>20</v>
      </c>
      <c r="G34" t="s">
        <v>53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 x14ac:dyDescent="0.3">
      <c r="A35" t="s">
        <v>106</v>
      </c>
      <c r="B35" t="s">
        <v>16</v>
      </c>
      <c r="C35" t="s">
        <v>161</v>
      </c>
      <c r="D35" t="s">
        <v>162</v>
      </c>
      <c r="E35" t="s">
        <v>19</v>
      </c>
      <c r="F35" s="3" t="s">
        <v>20</v>
      </c>
      <c r="G35" t="s">
        <v>53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 x14ac:dyDescent="0.3">
      <c r="A36" t="s">
        <v>106</v>
      </c>
      <c r="B36" t="s">
        <v>16</v>
      </c>
      <c r="C36" t="s">
        <v>163</v>
      </c>
      <c r="D36" t="s">
        <v>164</v>
      </c>
      <c r="E36" t="s">
        <v>19</v>
      </c>
      <c r="F36" s="3" t="s">
        <v>20</v>
      </c>
      <c r="G36" t="s">
        <v>53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 x14ac:dyDescent="0.3">
      <c r="A37" t="s">
        <v>106</v>
      </c>
      <c r="B37" t="s">
        <v>16</v>
      </c>
      <c r="C37" t="s">
        <v>165</v>
      </c>
      <c r="D37" t="s">
        <v>166</v>
      </c>
      <c r="E37" t="s">
        <v>19</v>
      </c>
      <c r="F37" s="3" t="s">
        <v>20</v>
      </c>
      <c r="G37" t="s">
        <v>53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 x14ac:dyDescent="0.3">
      <c r="A38" t="s">
        <v>106</v>
      </c>
      <c r="B38" t="s">
        <v>16</v>
      </c>
      <c r="C38" t="s">
        <v>167</v>
      </c>
      <c r="D38" t="s">
        <v>168</v>
      </c>
      <c r="E38" t="s">
        <v>19</v>
      </c>
      <c r="F38" s="3" t="s">
        <v>20</v>
      </c>
      <c r="G38" t="s">
        <v>53</v>
      </c>
      <c r="H38" s="17">
        <v>0</v>
      </c>
      <c r="I38" s="8">
        <f t="shared" ref="I38:I64" si="1">($O$2-H38)/$O$2*100</f>
        <v>100</v>
      </c>
      <c r="J38" s="31" t="s">
        <v>21</v>
      </c>
      <c r="K38"/>
      <c r="L38"/>
    </row>
    <row r="39" spans="1:12" s="14" customFormat="1" x14ac:dyDescent="0.3">
      <c r="A39" t="s">
        <v>106</v>
      </c>
      <c r="B39" t="s">
        <v>16</v>
      </c>
      <c r="C39" t="s">
        <v>169</v>
      </c>
      <c r="D39" t="s">
        <v>170</v>
      </c>
      <c r="E39" t="s">
        <v>19</v>
      </c>
      <c r="F39" s="3" t="s">
        <v>20</v>
      </c>
      <c r="G39" t="s">
        <v>53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 x14ac:dyDescent="0.3">
      <c r="A40" t="s">
        <v>106</v>
      </c>
      <c r="B40" t="s">
        <v>16</v>
      </c>
      <c r="C40" t="s">
        <v>171</v>
      </c>
      <c r="D40" t="s">
        <v>172</v>
      </c>
      <c r="E40" t="s">
        <v>19</v>
      </c>
      <c r="F40" s="3" t="s">
        <v>20</v>
      </c>
      <c r="G40" t="s">
        <v>53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 x14ac:dyDescent="0.3">
      <c r="A41" t="s">
        <v>106</v>
      </c>
      <c r="B41" t="s">
        <v>16</v>
      </c>
      <c r="C41" t="s">
        <v>173</v>
      </c>
      <c r="D41" t="s">
        <v>174</v>
      </c>
      <c r="E41" s="22" t="s">
        <v>19</v>
      </c>
      <c r="F41" s="23" t="s">
        <v>20</v>
      </c>
      <c r="G41" s="22" t="s">
        <v>53</v>
      </c>
      <c r="H41" s="17">
        <v>0</v>
      </c>
      <c r="I41" s="33">
        <f t="shared" si="1"/>
        <v>100</v>
      </c>
      <c r="J41" s="31" t="s">
        <v>21</v>
      </c>
    </row>
    <row r="42" spans="1:12" x14ac:dyDescent="0.3">
      <c r="A42" t="s">
        <v>106</v>
      </c>
      <c r="B42" t="s">
        <v>16</v>
      </c>
      <c r="C42" t="s">
        <v>175</v>
      </c>
      <c r="D42" t="s">
        <v>176</v>
      </c>
      <c r="E42" s="22" t="s">
        <v>19</v>
      </c>
      <c r="F42" s="23" t="s">
        <v>20</v>
      </c>
      <c r="G42" s="22" t="s">
        <v>53</v>
      </c>
      <c r="H42" s="17">
        <v>0</v>
      </c>
      <c r="I42" s="33">
        <f t="shared" si="1"/>
        <v>100</v>
      </c>
      <c r="J42" s="31" t="s">
        <v>21</v>
      </c>
    </row>
    <row r="43" spans="1:12" x14ac:dyDescent="0.3">
      <c r="A43" t="s">
        <v>106</v>
      </c>
      <c r="B43" t="s">
        <v>16</v>
      </c>
      <c r="C43" t="s">
        <v>177</v>
      </c>
      <c r="D43" t="s">
        <v>178</v>
      </c>
      <c r="E43" s="22" t="s">
        <v>19</v>
      </c>
      <c r="F43" s="23" t="s">
        <v>20</v>
      </c>
      <c r="G43" s="22" t="s">
        <v>53</v>
      </c>
      <c r="H43" s="17">
        <v>0</v>
      </c>
      <c r="I43" s="33">
        <f t="shared" si="1"/>
        <v>100</v>
      </c>
      <c r="J43" s="31" t="s">
        <v>21</v>
      </c>
    </row>
    <row r="44" spans="1:12" x14ac:dyDescent="0.3">
      <c r="A44" t="s">
        <v>106</v>
      </c>
      <c r="B44" t="s">
        <v>16</v>
      </c>
      <c r="C44" t="s">
        <v>179</v>
      </c>
      <c r="D44" t="s">
        <v>180</v>
      </c>
      <c r="E44" t="s">
        <v>19</v>
      </c>
      <c r="F44" s="3" t="s">
        <v>20</v>
      </c>
      <c r="G44" t="s">
        <v>53</v>
      </c>
      <c r="H44" s="17">
        <v>0</v>
      </c>
      <c r="I44" s="33">
        <f t="shared" si="1"/>
        <v>100</v>
      </c>
      <c r="J44" s="31" t="s">
        <v>21</v>
      </c>
    </row>
    <row r="45" spans="1:12" x14ac:dyDescent="0.3">
      <c r="A45" t="s">
        <v>106</v>
      </c>
      <c r="B45" t="s">
        <v>16</v>
      </c>
      <c r="C45" t="s">
        <v>181</v>
      </c>
      <c r="D45" t="s">
        <v>181</v>
      </c>
      <c r="E45" s="22" t="s">
        <v>19</v>
      </c>
      <c r="F45" s="23" t="s">
        <v>20</v>
      </c>
      <c r="G45" s="22" t="s">
        <v>53</v>
      </c>
      <c r="H45" s="17">
        <v>0</v>
      </c>
      <c r="I45" s="33">
        <f t="shared" si="1"/>
        <v>100</v>
      </c>
      <c r="J45" s="31" t="s">
        <v>21</v>
      </c>
    </row>
    <row r="46" spans="1:12" x14ac:dyDescent="0.3">
      <c r="A46" t="s">
        <v>106</v>
      </c>
      <c r="B46" t="s">
        <v>16</v>
      </c>
      <c r="C46" t="s">
        <v>182</v>
      </c>
      <c r="D46" t="s">
        <v>183</v>
      </c>
      <c r="E46" s="22" t="s">
        <v>19</v>
      </c>
      <c r="F46" s="23" t="s">
        <v>20</v>
      </c>
      <c r="G46" s="22" t="s">
        <v>53</v>
      </c>
      <c r="H46" s="17">
        <v>0</v>
      </c>
      <c r="I46" s="33">
        <f t="shared" si="1"/>
        <v>100</v>
      </c>
      <c r="J46" s="31" t="s">
        <v>21</v>
      </c>
    </row>
    <row r="47" spans="1:12" x14ac:dyDescent="0.3">
      <c r="A47" t="s">
        <v>106</v>
      </c>
      <c r="B47" t="s">
        <v>16</v>
      </c>
      <c r="C47" t="s">
        <v>184</v>
      </c>
      <c r="D47" t="s">
        <v>185</v>
      </c>
      <c r="E47" s="22" t="s">
        <v>19</v>
      </c>
      <c r="F47" s="23" t="s">
        <v>20</v>
      </c>
      <c r="G47" s="22" t="s">
        <v>53</v>
      </c>
      <c r="H47" s="17">
        <v>0</v>
      </c>
      <c r="I47" s="33">
        <f t="shared" si="1"/>
        <v>100</v>
      </c>
      <c r="J47" s="31" t="s">
        <v>21</v>
      </c>
    </row>
    <row r="48" spans="1:12" x14ac:dyDescent="0.3">
      <c r="A48" t="s">
        <v>106</v>
      </c>
      <c r="B48" t="s">
        <v>16</v>
      </c>
      <c r="C48" t="s">
        <v>186</v>
      </c>
      <c r="D48" t="s">
        <v>187</v>
      </c>
      <c r="E48" s="22" t="s">
        <v>19</v>
      </c>
      <c r="F48" s="23" t="s">
        <v>20</v>
      </c>
      <c r="G48" s="22" t="s">
        <v>53</v>
      </c>
      <c r="H48" s="17">
        <v>0</v>
      </c>
      <c r="I48" s="33">
        <f t="shared" si="1"/>
        <v>100</v>
      </c>
      <c r="J48" s="31" t="s">
        <v>21</v>
      </c>
    </row>
    <row r="49" spans="1:10" x14ac:dyDescent="0.3">
      <c r="A49" t="s">
        <v>106</v>
      </c>
      <c r="B49" t="s">
        <v>16</v>
      </c>
      <c r="C49" t="s">
        <v>188</v>
      </c>
      <c r="D49" t="s">
        <v>189</v>
      </c>
      <c r="E49" s="22" t="s">
        <v>19</v>
      </c>
      <c r="F49" s="23" t="s">
        <v>20</v>
      </c>
      <c r="G49" s="22" t="s">
        <v>53</v>
      </c>
      <c r="H49" s="17">
        <v>0</v>
      </c>
      <c r="I49" s="33">
        <f t="shared" si="1"/>
        <v>100</v>
      </c>
      <c r="J49" s="31" t="s">
        <v>21</v>
      </c>
    </row>
    <row r="50" spans="1:10" x14ac:dyDescent="0.3">
      <c r="A50" t="s">
        <v>106</v>
      </c>
      <c r="B50" t="s">
        <v>16</v>
      </c>
      <c r="C50" t="s">
        <v>190</v>
      </c>
      <c r="D50" t="s">
        <v>191</v>
      </c>
      <c r="E50" s="22" t="s">
        <v>19</v>
      </c>
      <c r="F50" s="23" t="s">
        <v>20</v>
      </c>
      <c r="G50" s="22" t="s">
        <v>53</v>
      </c>
      <c r="H50" s="17">
        <v>0</v>
      </c>
      <c r="I50" s="33">
        <f t="shared" si="1"/>
        <v>100</v>
      </c>
      <c r="J50" s="31" t="s">
        <v>21</v>
      </c>
    </row>
    <row r="51" spans="1:10" x14ac:dyDescent="0.3">
      <c r="A51" t="s">
        <v>106</v>
      </c>
      <c r="B51" t="s">
        <v>16</v>
      </c>
      <c r="C51" t="s">
        <v>192</v>
      </c>
      <c r="D51" t="s">
        <v>193</v>
      </c>
      <c r="E51" s="22" t="s">
        <v>19</v>
      </c>
      <c r="F51" s="23" t="s">
        <v>20</v>
      </c>
      <c r="G51" s="22" t="s">
        <v>53</v>
      </c>
      <c r="H51" s="17">
        <v>0</v>
      </c>
      <c r="I51" s="33">
        <f t="shared" si="1"/>
        <v>100</v>
      </c>
      <c r="J51" s="31" t="s">
        <v>21</v>
      </c>
    </row>
    <row r="52" spans="1:10" x14ac:dyDescent="0.3">
      <c r="A52" t="s">
        <v>106</v>
      </c>
      <c r="B52" t="s">
        <v>16</v>
      </c>
      <c r="C52" t="s">
        <v>194</v>
      </c>
      <c r="D52" t="s">
        <v>195</v>
      </c>
      <c r="E52" s="22" t="s">
        <v>19</v>
      </c>
      <c r="F52" s="23" t="s">
        <v>20</v>
      </c>
      <c r="G52" s="22" t="s">
        <v>53</v>
      </c>
      <c r="H52" s="17">
        <v>0</v>
      </c>
      <c r="I52" s="33">
        <f t="shared" si="1"/>
        <v>100</v>
      </c>
      <c r="J52" s="31" t="s">
        <v>21</v>
      </c>
    </row>
    <row r="53" spans="1:10" x14ac:dyDescent="0.3">
      <c r="A53" t="s">
        <v>106</v>
      </c>
      <c r="B53" t="s">
        <v>16</v>
      </c>
      <c r="C53" t="s">
        <v>196</v>
      </c>
      <c r="D53" t="s">
        <v>197</v>
      </c>
      <c r="E53" s="22" t="s">
        <v>19</v>
      </c>
      <c r="F53" s="23" t="s">
        <v>20</v>
      </c>
      <c r="G53" s="22" t="s">
        <v>53</v>
      </c>
      <c r="H53" s="17">
        <v>0</v>
      </c>
      <c r="I53" s="33">
        <f t="shared" si="1"/>
        <v>100</v>
      </c>
      <c r="J53" s="31" t="s">
        <v>21</v>
      </c>
    </row>
    <row r="54" spans="1:10" ht="15.9" customHeight="1" x14ac:dyDescent="0.3">
      <c r="A54" t="s">
        <v>106</v>
      </c>
      <c r="B54" t="s">
        <v>16</v>
      </c>
      <c r="C54" t="s">
        <v>43</v>
      </c>
      <c r="D54" t="s">
        <v>43</v>
      </c>
      <c r="E54" s="22" t="s">
        <v>19</v>
      </c>
      <c r="F54" s="22" t="s">
        <v>20</v>
      </c>
      <c r="G54" s="24" t="s">
        <v>45</v>
      </c>
      <c r="H54" s="17">
        <v>0</v>
      </c>
      <c r="I54" s="33">
        <f t="shared" si="1"/>
        <v>100</v>
      </c>
      <c r="J54" s="31" t="s">
        <v>21</v>
      </c>
    </row>
    <row r="55" spans="1:10" x14ac:dyDescent="0.3">
      <c r="A55" t="s">
        <v>106</v>
      </c>
      <c r="B55" t="s">
        <v>16</v>
      </c>
      <c r="C55" t="s">
        <v>198</v>
      </c>
      <c r="D55" t="s">
        <v>198</v>
      </c>
      <c r="E55" s="22"/>
      <c r="F55" s="22"/>
      <c r="G55" s="22" t="s">
        <v>199</v>
      </c>
      <c r="H55" s="17">
        <v>0</v>
      </c>
      <c r="I55" s="33">
        <f t="shared" si="1"/>
        <v>100</v>
      </c>
      <c r="J55" s="31" t="s">
        <v>21</v>
      </c>
    </row>
    <row r="56" spans="1:10" x14ac:dyDescent="0.3">
      <c r="A56" t="s">
        <v>106</v>
      </c>
      <c r="B56" t="s">
        <v>16</v>
      </c>
      <c r="C56" t="s">
        <v>200</v>
      </c>
      <c r="D56" t="s">
        <v>201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 x14ac:dyDescent="0.3">
      <c r="A57" t="s">
        <v>106</v>
      </c>
      <c r="B57" t="s">
        <v>16</v>
      </c>
      <c r="C57" t="s">
        <v>202</v>
      </c>
      <c r="D57" t="s">
        <v>203</v>
      </c>
      <c r="E57" s="22" t="s">
        <v>204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 x14ac:dyDescent="0.3">
      <c r="A58" t="s">
        <v>106</v>
      </c>
      <c r="B58" t="s">
        <v>16</v>
      </c>
      <c r="C58" t="s">
        <v>205</v>
      </c>
      <c r="D58" t="s">
        <v>206</v>
      </c>
      <c r="E58" s="22" t="s">
        <v>204</v>
      </c>
      <c r="F58" s="22" t="s">
        <v>50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 x14ac:dyDescent="0.3">
      <c r="A59" t="s">
        <v>106</v>
      </c>
      <c r="B59" t="s">
        <v>16</v>
      </c>
      <c r="C59" t="s">
        <v>207</v>
      </c>
      <c r="D59" t="s">
        <v>208</v>
      </c>
      <c r="E59" s="22" t="s">
        <v>204</v>
      </c>
      <c r="F59" s="22" t="s">
        <v>50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 x14ac:dyDescent="0.3">
      <c r="A60" t="s">
        <v>106</v>
      </c>
      <c r="B60" t="s">
        <v>16</v>
      </c>
      <c r="C60" t="s">
        <v>209</v>
      </c>
      <c r="D60" t="s">
        <v>210</v>
      </c>
      <c r="E60" s="22" t="s">
        <v>204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 x14ac:dyDescent="0.3">
      <c r="A61" t="s">
        <v>106</v>
      </c>
      <c r="B61" t="s">
        <v>16</v>
      </c>
      <c r="C61" t="s">
        <v>211</v>
      </c>
      <c r="D61" t="s">
        <v>212</v>
      </c>
      <c r="E61" s="22" t="s">
        <v>213</v>
      </c>
      <c r="F61" s="22" t="s">
        <v>50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 x14ac:dyDescent="0.3">
      <c r="A62" t="s">
        <v>106</v>
      </c>
      <c r="B62" t="s">
        <v>16</v>
      </c>
      <c r="C62" t="s">
        <v>214</v>
      </c>
      <c r="D62" t="s">
        <v>215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 x14ac:dyDescent="0.3">
      <c r="A63" t="s">
        <v>106</v>
      </c>
      <c r="B63" t="s">
        <v>16</v>
      </c>
      <c r="C63" t="s">
        <v>216</v>
      </c>
      <c r="D63" t="s">
        <v>216</v>
      </c>
      <c r="E63" s="22" t="s">
        <v>217</v>
      </c>
      <c r="F63" s="22" t="s">
        <v>50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  <row r="64" spans="1:10" x14ac:dyDescent="0.3">
      <c r="A64" t="s">
        <v>106</v>
      </c>
      <c r="B64" t="s">
        <v>16</v>
      </c>
      <c r="C64" t="s">
        <v>661</v>
      </c>
      <c r="D64" t="s">
        <v>662</v>
      </c>
      <c r="E64" t="s">
        <v>19</v>
      </c>
      <c r="F64" t="s">
        <v>20</v>
      </c>
      <c r="G64" t="s">
        <v>19</v>
      </c>
      <c r="H64" s="17">
        <v>0</v>
      </c>
      <c r="I64" s="25">
        <f t="shared" si="1"/>
        <v>100</v>
      </c>
      <c r="J64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77A7-DE84-457A-9C0E-303F4A87B4A7}">
  <dimension ref="A1:P36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13.33203125" customWidth="1"/>
    <col min="2" max="2" width="10.33203125" customWidth="1"/>
    <col min="3" max="3" width="18.44140625" customWidth="1"/>
    <col min="4" max="4" width="44" bestFit="1" customWidth="1"/>
    <col min="5" max="5" width="16.6640625" customWidth="1"/>
    <col min="6" max="6" width="19.6640625" bestFit="1" customWidth="1"/>
    <col min="7" max="7" width="19.109375" customWidth="1"/>
    <col min="8" max="8" width="17.5546875" customWidth="1"/>
    <col min="9" max="9" width="15.6640625" style="10" customWidth="1"/>
    <col min="10" max="10" width="11.88671875" customWidth="1"/>
    <col min="11" max="11" width="19.6640625" customWidth="1"/>
    <col min="12" max="12" width="24.6640625" bestFit="1" customWidth="1"/>
    <col min="15" max="15" width="14.109375" customWidth="1"/>
  </cols>
  <sheetData>
    <row r="1" spans="1:16" x14ac:dyDescent="0.3">
      <c r="A1" s="1" t="s">
        <v>0</v>
      </c>
      <c r="B1" s="1" t="s">
        <v>218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3">
      <c r="A2" t="s">
        <v>219</v>
      </c>
      <c r="B2" t="s">
        <v>16</v>
      </c>
      <c r="C2" t="s">
        <v>17</v>
      </c>
      <c r="D2" t="s">
        <v>672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5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3">
      <c r="A3" t="s">
        <v>219</v>
      </c>
      <c r="B3" t="s">
        <v>16</v>
      </c>
      <c r="C3" t="s">
        <v>220</v>
      </c>
      <c r="D3" t="s">
        <v>221</v>
      </c>
      <c r="E3" t="s">
        <v>222</v>
      </c>
      <c r="F3" t="s">
        <v>90</v>
      </c>
      <c r="G3" t="s">
        <v>223</v>
      </c>
      <c r="H3" s="17">
        <v>0</v>
      </c>
      <c r="I3" s="8">
        <f t="shared" si="0"/>
        <v>100</v>
      </c>
      <c r="L3" s="14"/>
    </row>
    <row r="4" spans="1:16" x14ac:dyDescent="0.3">
      <c r="A4" t="s">
        <v>219</v>
      </c>
      <c r="B4" t="s">
        <v>16</v>
      </c>
      <c r="C4" t="s">
        <v>224</v>
      </c>
      <c r="D4" t="s">
        <v>225</v>
      </c>
      <c r="E4" t="s">
        <v>19</v>
      </c>
      <c r="F4" t="s">
        <v>90</v>
      </c>
      <c r="G4" t="s">
        <v>223</v>
      </c>
      <c r="H4" s="17">
        <v>0</v>
      </c>
      <c r="I4" s="8">
        <f t="shared" si="0"/>
        <v>100</v>
      </c>
      <c r="L4" s="14"/>
    </row>
    <row r="5" spans="1:16" x14ac:dyDescent="0.3">
      <c r="A5" t="s">
        <v>219</v>
      </c>
      <c r="B5" t="s">
        <v>16</v>
      </c>
      <c r="C5" t="s">
        <v>226</v>
      </c>
      <c r="D5" t="s">
        <v>227</v>
      </c>
      <c r="E5" t="s">
        <v>228</v>
      </c>
      <c r="F5" t="s">
        <v>90</v>
      </c>
      <c r="G5" t="s">
        <v>223</v>
      </c>
      <c r="H5" s="17">
        <v>4069</v>
      </c>
      <c r="I5" s="8">
        <f t="shared" si="0"/>
        <v>97.881027147224088</v>
      </c>
      <c r="L5" s="14"/>
    </row>
    <row r="6" spans="1:16" x14ac:dyDescent="0.3">
      <c r="A6" t="s">
        <v>219</v>
      </c>
      <c r="B6" t="s">
        <v>16</v>
      </c>
      <c r="C6" t="s">
        <v>229</v>
      </c>
      <c r="D6" t="s">
        <v>230</v>
      </c>
      <c r="E6" t="s">
        <v>228</v>
      </c>
      <c r="F6" t="s">
        <v>90</v>
      </c>
      <c r="G6" t="s">
        <v>223</v>
      </c>
      <c r="H6" s="17">
        <v>4069</v>
      </c>
      <c r="I6" s="8">
        <f t="shared" si="0"/>
        <v>97.881027147224088</v>
      </c>
      <c r="L6" s="14"/>
    </row>
    <row r="7" spans="1:16" x14ac:dyDescent="0.3">
      <c r="A7" t="s">
        <v>219</v>
      </c>
      <c r="B7" t="s">
        <v>16</v>
      </c>
      <c r="C7" t="s">
        <v>231</v>
      </c>
      <c r="D7" t="s">
        <v>232</v>
      </c>
      <c r="E7" t="s">
        <v>19</v>
      </c>
      <c r="F7" t="s">
        <v>90</v>
      </c>
      <c r="G7" t="s">
        <v>223</v>
      </c>
      <c r="H7" s="17">
        <v>4069</v>
      </c>
      <c r="I7" s="8">
        <f t="shared" si="0"/>
        <v>97.881027147224088</v>
      </c>
      <c r="L7" s="14"/>
    </row>
    <row r="8" spans="1:16" x14ac:dyDescent="0.3">
      <c r="A8" t="s">
        <v>219</v>
      </c>
      <c r="B8" t="s">
        <v>16</v>
      </c>
      <c r="C8" t="s">
        <v>233</v>
      </c>
      <c r="D8" t="s">
        <v>234</v>
      </c>
      <c r="E8" t="s">
        <v>228</v>
      </c>
      <c r="F8" t="s">
        <v>90</v>
      </c>
      <c r="G8" t="s">
        <v>223</v>
      </c>
      <c r="H8" s="17">
        <v>5677</v>
      </c>
      <c r="I8" s="8">
        <f t="shared" si="0"/>
        <v>97.043644904102024</v>
      </c>
      <c r="L8" s="14"/>
    </row>
    <row r="9" spans="1:16" x14ac:dyDescent="0.3">
      <c r="A9" t="s">
        <v>219</v>
      </c>
      <c r="B9" t="s">
        <v>16</v>
      </c>
      <c r="C9" t="s">
        <v>235</v>
      </c>
      <c r="D9" t="s">
        <v>236</v>
      </c>
      <c r="E9" t="s">
        <v>228</v>
      </c>
      <c r="F9" t="s">
        <v>90</v>
      </c>
      <c r="G9" t="s">
        <v>223</v>
      </c>
      <c r="H9" s="17">
        <v>181429</v>
      </c>
      <c r="I9" s="8">
        <f t="shared" si="0"/>
        <v>5.5190155551042297</v>
      </c>
      <c r="L9" s="14"/>
    </row>
    <row r="10" spans="1:16" x14ac:dyDescent="0.3">
      <c r="A10" t="s">
        <v>219</v>
      </c>
      <c r="B10" t="s">
        <v>16</v>
      </c>
      <c r="C10" t="s">
        <v>667</v>
      </c>
      <c r="H10" s="17"/>
      <c r="I10" s="25">
        <f>($O$2-H10)/$O$2*100</f>
        <v>100</v>
      </c>
      <c r="L10" s="14"/>
    </row>
    <row r="11" spans="1:16" x14ac:dyDescent="0.3">
      <c r="A11" t="s">
        <v>219</v>
      </c>
      <c r="B11" t="s">
        <v>16</v>
      </c>
      <c r="C11" t="s">
        <v>668</v>
      </c>
      <c r="H11" s="17"/>
      <c r="I11" s="25">
        <f>($O$2-H11)/$O$2*100</f>
        <v>100</v>
      </c>
      <c r="L11" s="14"/>
    </row>
    <row r="12" spans="1:16" s="14" customFormat="1" x14ac:dyDescent="0.3">
      <c r="A12" t="s">
        <v>219</v>
      </c>
      <c r="B12" t="s">
        <v>16</v>
      </c>
      <c r="C12" t="s">
        <v>237</v>
      </c>
      <c r="D12"/>
      <c r="E12"/>
      <c r="F12"/>
      <c r="G12"/>
      <c r="H12" s="17">
        <v>4130</v>
      </c>
      <c r="I12" s="8">
        <f t="shared" si="0"/>
        <v>97.849260781035994</v>
      </c>
      <c r="J12"/>
      <c r="K12"/>
    </row>
    <row r="13" spans="1:16" s="14" customFormat="1" x14ac:dyDescent="0.3">
      <c r="A13" s="21" t="s">
        <v>219</v>
      </c>
      <c r="B13" s="21" t="s">
        <v>16</v>
      </c>
      <c r="C13" s="21" t="s">
        <v>238</v>
      </c>
      <c r="D13" s="21"/>
      <c r="E13" s="21" t="s">
        <v>19</v>
      </c>
      <c r="F13" s="21" t="s">
        <v>78</v>
      </c>
      <c r="G13" s="21" t="s">
        <v>239</v>
      </c>
      <c r="H13" s="17">
        <v>153880</v>
      </c>
      <c r="I13" s="8">
        <f t="shared" si="0"/>
        <v>19.865435589786852</v>
      </c>
      <c r="J13" s="15"/>
      <c r="K13" s="15"/>
    </row>
    <row r="14" spans="1:16" x14ac:dyDescent="0.3">
      <c r="A14" t="s">
        <v>219</v>
      </c>
      <c r="B14" t="s">
        <v>16</v>
      </c>
      <c r="C14" t="s">
        <v>240</v>
      </c>
      <c r="D14" t="s">
        <v>241</v>
      </c>
      <c r="H14" s="17">
        <v>126017</v>
      </c>
      <c r="I14" s="8">
        <f t="shared" si="0"/>
        <v>34.375374296322917</v>
      </c>
      <c r="L14" s="14"/>
    </row>
    <row r="15" spans="1:16" s="15" customFormat="1" x14ac:dyDescent="0.3">
      <c r="A15" t="s">
        <v>219</v>
      </c>
      <c r="B15" t="s">
        <v>16</v>
      </c>
      <c r="C15" t="s">
        <v>242</v>
      </c>
      <c r="D15" t="s">
        <v>24</v>
      </c>
      <c r="E15" t="s">
        <v>19</v>
      </c>
      <c r="F15" t="s">
        <v>25</v>
      </c>
      <c r="G15" t="s">
        <v>19</v>
      </c>
      <c r="H15" s="17">
        <v>0</v>
      </c>
      <c r="I15" s="8">
        <f t="shared" si="0"/>
        <v>100</v>
      </c>
      <c r="J15"/>
      <c r="K15"/>
      <c r="L15" s="14"/>
    </row>
    <row r="16" spans="1:16" x14ac:dyDescent="0.3">
      <c r="I16" s="25"/>
    </row>
    <row r="17" spans="9:9" x14ac:dyDescent="0.3">
      <c r="I17" s="25"/>
    </row>
    <row r="18" spans="9:9" x14ac:dyDescent="0.3">
      <c r="I18" s="25"/>
    </row>
    <row r="19" spans="9:9" x14ac:dyDescent="0.3">
      <c r="I19" s="25"/>
    </row>
    <row r="20" spans="9:9" x14ac:dyDescent="0.3">
      <c r="I20" s="25"/>
    </row>
    <row r="21" spans="9:9" x14ac:dyDescent="0.3">
      <c r="I21" s="25"/>
    </row>
    <row r="22" spans="9:9" x14ac:dyDescent="0.3">
      <c r="I22" s="25"/>
    </row>
    <row r="23" spans="9:9" x14ac:dyDescent="0.3">
      <c r="I23" s="25"/>
    </row>
    <row r="24" spans="9:9" x14ac:dyDescent="0.3">
      <c r="I24" s="25"/>
    </row>
    <row r="25" spans="9:9" x14ac:dyDescent="0.3">
      <c r="I25" s="26"/>
    </row>
    <row r="26" spans="9:9" x14ac:dyDescent="0.3">
      <c r="I26" s="25"/>
    </row>
    <row r="27" spans="9:9" x14ac:dyDescent="0.3">
      <c r="I27" s="25"/>
    </row>
    <row r="28" spans="9:9" x14ac:dyDescent="0.3">
      <c r="I28" s="25"/>
    </row>
    <row r="29" spans="9:9" x14ac:dyDescent="0.3">
      <c r="I29" s="25"/>
    </row>
    <row r="30" spans="9:9" x14ac:dyDescent="0.3">
      <c r="I30" s="25"/>
    </row>
    <row r="31" spans="9:9" x14ac:dyDescent="0.3">
      <c r="I31" s="25"/>
    </row>
    <row r="32" spans="9:9" x14ac:dyDescent="0.3">
      <c r="I32" s="25"/>
    </row>
    <row r="33" spans="9:9" x14ac:dyDescent="0.3">
      <c r="I33" s="25"/>
    </row>
    <row r="34" spans="9:9" x14ac:dyDescent="0.3">
      <c r="I34" s="25"/>
    </row>
    <row r="35" spans="9:9" x14ac:dyDescent="0.3">
      <c r="I35" s="25"/>
    </row>
    <row r="36" spans="9:9" x14ac:dyDescent="0.3">
      <c r="I36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D477-E59C-4A88-8B2D-ACD182200297}">
  <dimension ref="A1:P29"/>
  <sheetViews>
    <sheetView workbookViewId="0">
      <selection activeCell="D3" sqref="D3"/>
    </sheetView>
  </sheetViews>
  <sheetFormatPr baseColWidth="10" defaultColWidth="11.44140625" defaultRowHeight="14.4" x14ac:dyDescent="0.3"/>
  <cols>
    <col min="1" max="1" width="13.33203125" customWidth="1"/>
    <col min="2" max="2" width="10.33203125" customWidth="1"/>
    <col min="3" max="3" width="18.44140625" customWidth="1"/>
    <col min="4" max="4" width="42.6640625" bestFit="1" customWidth="1"/>
    <col min="5" max="5" width="16.6640625" customWidth="1"/>
    <col min="6" max="6" width="19.6640625" bestFit="1" customWidth="1"/>
    <col min="7" max="7" width="19.109375" customWidth="1"/>
    <col min="8" max="8" width="17.5546875" customWidth="1"/>
    <col min="9" max="9" width="15.6640625" style="10" customWidth="1"/>
    <col min="10" max="10" width="11.88671875" customWidth="1"/>
    <col min="11" max="11" width="19.6640625" customWidth="1"/>
    <col min="12" max="12" width="24.6640625" bestFit="1" customWidth="1"/>
    <col min="15" max="15" width="14.109375" customWidth="1"/>
  </cols>
  <sheetData>
    <row r="1" spans="1:16" x14ac:dyDescent="0.3">
      <c r="A1" s="1" t="s">
        <v>0</v>
      </c>
      <c r="B1" s="1" t="s">
        <v>218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3">
      <c r="A2" t="s">
        <v>648</v>
      </c>
      <c r="B2" t="s">
        <v>16</v>
      </c>
      <c r="C2" s="39" t="s">
        <v>14</v>
      </c>
      <c r="D2" t="s">
        <v>655</v>
      </c>
      <c r="E2" s="22" t="s">
        <v>19</v>
      </c>
      <c r="F2" s="23" t="s">
        <v>38</v>
      </c>
      <c r="G2" t="s">
        <v>19</v>
      </c>
      <c r="H2" s="17"/>
      <c r="I2" s="8"/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3">
      <c r="A3" t="s">
        <v>648</v>
      </c>
      <c r="B3" t="s">
        <v>16</v>
      </c>
      <c r="C3" t="s">
        <v>649</v>
      </c>
      <c r="D3" t="s">
        <v>671</v>
      </c>
      <c r="E3" t="s">
        <v>19</v>
      </c>
      <c r="F3" s="3" t="s">
        <v>20</v>
      </c>
      <c r="G3" t="s">
        <v>19</v>
      </c>
      <c r="H3" s="17"/>
      <c r="I3" s="8"/>
      <c r="L3" s="14"/>
    </row>
    <row r="4" spans="1:16" x14ac:dyDescent="0.3">
      <c r="A4" t="s">
        <v>648</v>
      </c>
      <c r="B4" t="s">
        <v>16</v>
      </c>
      <c r="C4" t="s">
        <v>650</v>
      </c>
      <c r="D4" t="s">
        <v>669</v>
      </c>
      <c r="E4" t="s">
        <v>19</v>
      </c>
      <c r="F4" s="3" t="s">
        <v>20</v>
      </c>
      <c r="G4" t="s">
        <v>19</v>
      </c>
      <c r="H4" s="17"/>
      <c r="I4" s="8"/>
      <c r="L4" s="14"/>
    </row>
    <row r="5" spans="1:16" x14ac:dyDescent="0.3">
      <c r="A5" t="s">
        <v>648</v>
      </c>
      <c r="B5" t="s">
        <v>16</v>
      </c>
      <c r="C5" t="s">
        <v>651</v>
      </c>
      <c r="D5" t="s">
        <v>656</v>
      </c>
      <c r="E5" t="s">
        <v>19</v>
      </c>
      <c r="F5" s="3" t="s">
        <v>20</v>
      </c>
      <c r="G5" t="s">
        <v>19</v>
      </c>
      <c r="H5" s="17"/>
      <c r="I5" s="8"/>
      <c r="L5" s="14"/>
    </row>
    <row r="6" spans="1:16" x14ac:dyDescent="0.3">
      <c r="A6" t="s">
        <v>648</v>
      </c>
      <c r="B6" t="s">
        <v>16</v>
      </c>
      <c r="C6" t="s">
        <v>652</v>
      </c>
      <c r="D6" t="s">
        <v>657</v>
      </c>
      <c r="E6" t="s">
        <v>19</v>
      </c>
      <c r="F6" s="3" t="s">
        <v>20</v>
      </c>
      <c r="G6" t="s">
        <v>19</v>
      </c>
      <c r="H6" s="17"/>
      <c r="I6" s="8"/>
      <c r="L6" s="14"/>
    </row>
    <row r="7" spans="1:16" x14ac:dyDescent="0.3">
      <c r="A7" t="s">
        <v>648</v>
      </c>
      <c r="B7" t="s">
        <v>16</v>
      </c>
      <c r="C7" s="42" t="s">
        <v>653</v>
      </c>
      <c r="D7" s="42" t="s">
        <v>670</v>
      </c>
      <c r="E7" t="s">
        <v>19</v>
      </c>
      <c r="F7" s="3" t="s">
        <v>20</v>
      </c>
      <c r="G7" t="s">
        <v>19</v>
      </c>
      <c r="H7" s="17"/>
      <c r="I7" s="8"/>
      <c r="L7" s="14"/>
    </row>
    <row r="8" spans="1:16" x14ac:dyDescent="0.3">
      <c r="A8" t="s">
        <v>648</v>
      </c>
      <c r="B8" t="s">
        <v>16</v>
      </c>
      <c r="C8" s="42" t="s">
        <v>654</v>
      </c>
      <c r="D8" s="42" t="s">
        <v>654</v>
      </c>
      <c r="E8" t="s">
        <v>19</v>
      </c>
      <c r="F8" s="3" t="s">
        <v>20</v>
      </c>
      <c r="G8" t="s">
        <v>19</v>
      </c>
      <c r="H8" s="17"/>
      <c r="I8" s="8"/>
      <c r="L8" s="14"/>
    </row>
    <row r="9" spans="1:16" x14ac:dyDescent="0.3">
      <c r="I9" s="25"/>
    </row>
    <row r="10" spans="1:16" x14ac:dyDescent="0.3">
      <c r="I10" s="25"/>
    </row>
    <row r="11" spans="1:16" x14ac:dyDescent="0.3">
      <c r="I11" s="25"/>
    </row>
    <row r="12" spans="1:16" x14ac:dyDescent="0.3">
      <c r="I12" s="25"/>
    </row>
    <row r="13" spans="1:16" x14ac:dyDescent="0.3">
      <c r="I13" s="25"/>
    </row>
    <row r="14" spans="1:16" x14ac:dyDescent="0.3">
      <c r="I14" s="25"/>
    </row>
    <row r="15" spans="1:16" x14ac:dyDescent="0.3">
      <c r="I15" s="25"/>
    </row>
    <row r="16" spans="1:16" x14ac:dyDescent="0.3">
      <c r="I16" s="25"/>
    </row>
    <row r="17" spans="9:9" x14ac:dyDescent="0.3">
      <c r="I17" s="25"/>
    </row>
    <row r="18" spans="9:9" x14ac:dyDescent="0.3">
      <c r="I18" s="26"/>
    </row>
    <row r="19" spans="9:9" x14ac:dyDescent="0.3">
      <c r="I19" s="25"/>
    </row>
    <row r="20" spans="9:9" x14ac:dyDescent="0.3">
      <c r="I20" s="25"/>
    </row>
    <row r="21" spans="9:9" x14ac:dyDescent="0.3">
      <c r="I21" s="25"/>
    </row>
    <row r="22" spans="9:9" x14ac:dyDescent="0.3">
      <c r="I22" s="25"/>
    </row>
    <row r="23" spans="9:9" x14ac:dyDescent="0.3">
      <c r="I23" s="25"/>
    </row>
    <row r="24" spans="9:9" x14ac:dyDescent="0.3">
      <c r="I24" s="25"/>
    </row>
    <row r="25" spans="9:9" x14ac:dyDescent="0.3">
      <c r="I25" s="25"/>
    </row>
    <row r="26" spans="9:9" x14ac:dyDescent="0.3">
      <c r="I26" s="25"/>
    </row>
    <row r="27" spans="9:9" x14ac:dyDescent="0.3">
      <c r="I27" s="25"/>
    </row>
    <row r="28" spans="9:9" x14ac:dyDescent="0.3">
      <c r="I28" s="25"/>
    </row>
    <row r="29" spans="9:9" x14ac:dyDescent="0.3">
      <c r="I29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96E-31C2-431E-B822-C48F237A31F0}">
  <dimension ref="A1:C306"/>
  <sheetViews>
    <sheetView workbookViewId="0">
      <selection activeCell="A8" sqref="A8:XFD8"/>
    </sheetView>
  </sheetViews>
  <sheetFormatPr baseColWidth="10" defaultColWidth="9.109375" defaultRowHeight="14.4" x14ac:dyDescent="0.3"/>
  <cols>
    <col min="1" max="1" width="99.44140625" bestFit="1" customWidth="1"/>
    <col min="2" max="2" width="87.33203125" bestFit="1" customWidth="1"/>
    <col min="3" max="3" width="53.109375" bestFit="1" customWidth="1"/>
  </cols>
  <sheetData>
    <row r="1" spans="1:3" x14ac:dyDescent="0.3">
      <c r="A1" t="s">
        <v>73</v>
      </c>
      <c r="B1" t="s">
        <v>243</v>
      </c>
      <c r="C1" t="s">
        <v>244</v>
      </c>
    </row>
    <row r="2" spans="1:3" x14ac:dyDescent="0.3">
      <c r="C2" s="12" t="s">
        <v>245</v>
      </c>
    </row>
    <row r="3" spans="1:3" x14ac:dyDescent="0.3">
      <c r="A3" t="s">
        <v>246</v>
      </c>
      <c r="B3" t="s">
        <v>247</v>
      </c>
      <c r="C3" s="12" t="s">
        <v>248</v>
      </c>
    </row>
    <row r="4" spans="1:3" x14ac:dyDescent="0.3">
      <c r="A4" t="s">
        <v>249</v>
      </c>
      <c r="B4" t="s">
        <v>250</v>
      </c>
      <c r="C4" s="12" t="s">
        <v>251</v>
      </c>
    </row>
    <row r="5" spans="1:3" x14ac:dyDescent="0.3">
      <c r="A5" t="s">
        <v>252</v>
      </c>
      <c r="B5" t="s">
        <v>253</v>
      </c>
      <c r="C5" s="12" t="s">
        <v>254</v>
      </c>
    </row>
    <row r="6" spans="1:3" x14ac:dyDescent="0.3">
      <c r="A6" t="s">
        <v>255</v>
      </c>
      <c r="B6" t="s">
        <v>256</v>
      </c>
      <c r="C6" s="12" t="s">
        <v>257</v>
      </c>
    </row>
    <row r="7" spans="1:3" x14ac:dyDescent="0.3">
      <c r="A7" t="s">
        <v>258</v>
      </c>
      <c r="B7" t="s">
        <v>259</v>
      </c>
      <c r="C7" s="12" t="s">
        <v>260</v>
      </c>
    </row>
    <row r="8" spans="1:3" x14ac:dyDescent="0.3">
      <c r="A8" t="s">
        <v>261</v>
      </c>
      <c r="B8" t="s">
        <v>262</v>
      </c>
      <c r="C8" s="12" t="s">
        <v>263</v>
      </c>
    </row>
    <row r="9" spans="1:3" x14ac:dyDescent="0.3">
      <c r="A9" t="s">
        <v>264</v>
      </c>
      <c r="B9" t="s">
        <v>265</v>
      </c>
      <c r="C9" s="12" t="s">
        <v>266</v>
      </c>
    </row>
    <row r="10" spans="1:3" x14ac:dyDescent="0.3">
      <c r="A10" t="s">
        <v>267</v>
      </c>
      <c r="B10" t="s">
        <v>268</v>
      </c>
      <c r="C10" s="12" t="s">
        <v>269</v>
      </c>
    </row>
    <row r="11" spans="1:3" x14ac:dyDescent="0.3">
      <c r="A11" t="s">
        <v>270</v>
      </c>
      <c r="B11" t="s">
        <v>271</v>
      </c>
      <c r="C11" s="12" t="s">
        <v>272</v>
      </c>
    </row>
    <row r="12" spans="1:3" x14ac:dyDescent="0.3">
      <c r="A12" t="s">
        <v>273</v>
      </c>
      <c r="B12" t="s">
        <v>274</v>
      </c>
      <c r="C12" s="12" t="s">
        <v>275</v>
      </c>
    </row>
    <row r="13" spans="1:3" x14ac:dyDescent="0.3">
      <c r="A13" t="s">
        <v>276</v>
      </c>
      <c r="B13" t="s">
        <v>277</v>
      </c>
      <c r="C13" s="12" t="s">
        <v>278</v>
      </c>
    </row>
    <row r="14" spans="1:3" x14ac:dyDescent="0.3">
      <c r="A14" t="s">
        <v>279</v>
      </c>
      <c r="B14" t="s">
        <v>280</v>
      </c>
      <c r="C14" s="12" t="s">
        <v>281</v>
      </c>
    </row>
    <row r="15" spans="1:3" x14ac:dyDescent="0.3">
      <c r="A15" t="s">
        <v>282</v>
      </c>
      <c r="B15" t="s">
        <v>283</v>
      </c>
      <c r="C15" s="12" t="s">
        <v>284</v>
      </c>
    </row>
    <row r="16" spans="1:3" x14ac:dyDescent="0.3">
      <c r="A16" t="s">
        <v>285</v>
      </c>
      <c r="B16" t="s">
        <v>286</v>
      </c>
      <c r="C16" s="12" t="s">
        <v>287</v>
      </c>
    </row>
    <row r="17" spans="1:3" x14ac:dyDescent="0.3">
      <c r="A17" t="s">
        <v>288</v>
      </c>
      <c r="B17" t="s">
        <v>289</v>
      </c>
      <c r="C17" s="12" t="s">
        <v>290</v>
      </c>
    </row>
    <row r="18" spans="1:3" x14ac:dyDescent="0.3">
      <c r="A18" t="s">
        <v>291</v>
      </c>
      <c r="B18" t="s">
        <v>292</v>
      </c>
      <c r="C18" s="12" t="s">
        <v>293</v>
      </c>
    </row>
    <row r="19" spans="1:3" x14ac:dyDescent="0.3">
      <c r="A19" t="s">
        <v>294</v>
      </c>
      <c r="B19" t="s">
        <v>295</v>
      </c>
      <c r="C19" s="12" t="s">
        <v>296</v>
      </c>
    </row>
    <row r="20" spans="1:3" x14ac:dyDescent="0.3">
      <c r="A20" t="s">
        <v>297</v>
      </c>
      <c r="B20" t="s">
        <v>298</v>
      </c>
      <c r="C20" s="12" t="s">
        <v>299</v>
      </c>
    </row>
    <row r="21" spans="1:3" x14ac:dyDescent="0.3">
      <c r="A21" t="s">
        <v>300</v>
      </c>
      <c r="B21" t="s">
        <v>301</v>
      </c>
      <c r="C21" s="12" t="s">
        <v>302</v>
      </c>
    </row>
    <row r="22" spans="1:3" x14ac:dyDescent="0.3">
      <c r="A22" t="s">
        <v>303</v>
      </c>
      <c r="B22" t="s">
        <v>304</v>
      </c>
      <c r="C22" s="12" t="s">
        <v>305</v>
      </c>
    </row>
    <row r="23" spans="1:3" x14ac:dyDescent="0.3">
      <c r="A23" t="s">
        <v>306</v>
      </c>
      <c r="B23" t="s">
        <v>307</v>
      </c>
      <c r="C23" s="12" t="s">
        <v>308</v>
      </c>
    </row>
    <row r="24" spans="1:3" x14ac:dyDescent="0.3">
      <c r="A24" t="s">
        <v>309</v>
      </c>
      <c r="B24" t="s">
        <v>310</v>
      </c>
      <c r="C24" s="12" t="s">
        <v>311</v>
      </c>
    </row>
    <row r="25" spans="1:3" x14ac:dyDescent="0.3">
      <c r="A25" t="s">
        <v>312</v>
      </c>
      <c r="B25" t="s">
        <v>313</v>
      </c>
      <c r="C25" s="12" t="s">
        <v>314</v>
      </c>
    </row>
    <row r="26" spans="1:3" x14ac:dyDescent="0.3">
      <c r="A26" t="s">
        <v>315</v>
      </c>
      <c r="B26" t="s">
        <v>316</v>
      </c>
      <c r="C26" s="12" t="s">
        <v>317</v>
      </c>
    </row>
    <row r="27" spans="1:3" x14ac:dyDescent="0.3">
      <c r="A27" t="s">
        <v>318</v>
      </c>
      <c r="B27" t="s">
        <v>319</v>
      </c>
      <c r="C27" s="12" t="s">
        <v>320</v>
      </c>
    </row>
    <row r="28" spans="1:3" x14ac:dyDescent="0.3">
      <c r="A28" t="s">
        <v>321</v>
      </c>
      <c r="B28" t="s">
        <v>322</v>
      </c>
      <c r="C28" s="12" t="s">
        <v>323</v>
      </c>
    </row>
    <row r="29" spans="1:3" x14ac:dyDescent="0.3">
      <c r="A29" t="s">
        <v>324</v>
      </c>
      <c r="B29" t="s">
        <v>325</v>
      </c>
      <c r="C29" s="12" t="s">
        <v>326</v>
      </c>
    </row>
    <row r="30" spans="1:3" x14ac:dyDescent="0.3">
      <c r="A30" t="s">
        <v>327</v>
      </c>
      <c r="B30" t="s">
        <v>328</v>
      </c>
      <c r="C30" s="12" t="s">
        <v>329</v>
      </c>
    </row>
    <row r="31" spans="1:3" x14ac:dyDescent="0.3">
      <c r="A31" t="s">
        <v>330</v>
      </c>
      <c r="B31" t="s">
        <v>331</v>
      </c>
      <c r="C31" s="12" t="s">
        <v>332</v>
      </c>
    </row>
    <row r="32" spans="1:3" x14ac:dyDescent="0.3">
      <c r="A32" t="s">
        <v>333</v>
      </c>
      <c r="B32" t="s">
        <v>334</v>
      </c>
      <c r="C32" s="12" t="s">
        <v>335</v>
      </c>
    </row>
    <row r="33" spans="1:3" x14ac:dyDescent="0.3">
      <c r="A33" t="s">
        <v>336</v>
      </c>
      <c r="B33" t="s">
        <v>337</v>
      </c>
      <c r="C33" s="12" t="s">
        <v>338</v>
      </c>
    </row>
    <row r="34" spans="1:3" x14ac:dyDescent="0.3">
      <c r="A34" t="s">
        <v>339</v>
      </c>
      <c r="B34" t="s">
        <v>340</v>
      </c>
      <c r="C34" s="12" t="s">
        <v>341</v>
      </c>
    </row>
    <row r="35" spans="1:3" x14ac:dyDescent="0.3">
      <c r="A35" t="s">
        <v>342</v>
      </c>
      <c r="B35" t="s">
        <v>343</v>
      </c>
      <c r="C35" s="12" t="s">
        <v>344</v>
      </c>
    </row>
    <row r="36" spans="1:3" x14ac:dyDescent="0.3">
      <c r="A36" t="s">
        <v>345</v>
      </c>
      <c r="B36" t="s">
        <v>346</v>
      </c>
      <c r="C36" s="12" t="s">
        <v>347</v>
      </c>
    </row>
    <row r="37" spans="1:3" x14ac:dyDescent="0.3">
      <c r="A37" t="s">
        <v>348</v>
      </c>
      <c r="B37" t="s">
        <v>349</v>
      </c>
      <c r="C37" s="12" t="s">
        <v>350</v>
      </c>
    </row>
    <row r="38" spans="1:3" x14ac:dyDescent="0.3">
      <c r="A38" t="s">
        <v>351</v>
      </c>
      <c r="B38" t="s">
        <v>352</v>
      </c>
      <c r="C38" s="12" t="s">
        <v>353</v>
      </c>
    </row>
    <row r="39" spans="1:3" x14ac:dyDescent="0.3">
      <c r="A39" t="s">
        <v>354</v>
      </c>
      <c r="B39" t="s">
        <v>355</v>
      </c>
      <c r="C39" s="12" t="s">
        <v>356</v>
      </c>
    </row>
    <row r="40" spans="1:3" x14ac:dyDescent="0.3">
      <c r="A40" t="s">
        <v>357</v>
      </c>
      <c r="B40" t="s">
        <v>358</v>
      </c>
      <c r="C40" s="12" t="s">
        <v>359</v>
      </c>
    </row>
    <row r="41" spans="1:3" x14ac:dyDescent="0.3">
      <c r="A41" t="s">
        <v>360</v>
      </c>
      <c r="B41" t="s">
        <v>361</v>
      </c>
      <c r="C41" s="13" t="s">
        <v>362</v>
      </c>
    </row>
    <row r="42" spans="1:3" x14ac:dyDescent="0.3">
      <c r="A42" t="s">
        <v>363</v>
      </c>
      <c r="B42" t="s">
        <v>364</v>
      </c>
    </row>
    <row r="43" spans="1:3" x14ac:dyDescent="0.3">
      <c r="A43" t="s">
        <v>365</v>
      </c>
      <c r="B43" t="s">
        <v>366</v>
      </c>
    </row>
    <row r="44" spans="1:3" x14ac:dyDescent="0.3">
      <c r="A44" t="s">
        <v>367</v>
      </c>
      <c r="B44" t="s">
        <v>368</v>
      </c>
    </row>
    <row r="45" spans="1:3" x14ac:dyDescent="0.3">
      <c r="A45" t="s">
        <v>369</v>
      </c>
      <c r="B45" t="s">
        <v>370</v>
      </c>
    </row>
    <row r="46" spans="1:3" x14ac:dyDescent="0.3">
      <c r="A46" t="s">
        <v>371</v>
      </c>
      <c r="B46" t="s">
        <v>372</v>
      </c>
    </row>
    <row r="47" spans="1:3" x14ac:dyDescent="0.3">
      <c r="A47" t="s">
        <v>373</v>
      </c>
      <c r="B47" t="s">
        <v>374</v>
      </c>
    </row>
    <row r="48" spans="1:3" x14ac:dyDescent="0.3">
      <c r="A48" t="s">
        <v>375</v>
      </c>
      <c r="B48" t="s">
        <v>376</v>
      </c>
    </row>
    <row r="49" spans="1:2" x14ac:dyDescent="0.3">
      <c r="A49" t="s">
        <v>377</v>
      </c>
      <c r="B49" t="s">
        <v>378</v>
      </c>
    </row>
    <row r="50" spans="1:2" x14ac:dyDescent="0.3">
      <c r="A50" t="s">
        <v>379</v>
      </c>
      <c r="B50" t="s">
        <v>380</v>
      </c>
    </row>
    <row r="51" spans="1:2" x14ac:dyDescent="0.3">
      <c r="A51" t="s">
        <v>381</v>
      </c>
    </row>
    <row r="52" spans="1:2" x14ac:dyDescent="0.3">
      <c r="A52" t="s">
        <v>382</v>
      </c>
    </row>
    <row r="53" spans="1:2" x14ac:dyDescent="0.3">
      <c r="A53" t="s">
        <v>383</v>
      </c>
    </row>
    <row r="54" spans="1:2" x14ac:dyDescent="0.3">
      <c r="A54" t="s">
        <v>384</v>
      </c>
    </row>
    <row r="55" spans="1:2" x14ac:dyDescent="0.3">
      <c r="A55" t="s">
        <v>385</v>
      </c>
    </row>
    <row r="56" spans="1:2" x14ac:dyDescent="0.3">
      <c r="A56" t="s">
        <v>386</v>
      </c>
    </row>
    <row r="57" spans="1:2" x14ac:dyDescent="0.3">
      <c r="A57" t="s">
        <v>387</v>
      </c>
    </row>
    <row r="58" spans="1:2" x14ac:dyDescent="0.3">
      <c r="A58" t="s">
        <v>388</v>
      </c>
    </row>
    <row r="59" spans="1:2" x14ac:dyDescent="0.3">
      <c r="A59" t="s">
        <v>389</v>
      </c>
    </row>
    <row r="60" spans="1:2" x14ac:dyDescent="0.3">
      <c r="A60" t="s">
        <v>390</v>
      </c>
    </row>
    <row r="61" spans="1:2" x14ac:dyDescent="0.3">
      <c r="A61" t="s">
        <v>391</v>
      </c>
    </row>
    <row r="62" spans="1:2" x14ac:dyDescent="0.3">
      <c r="A62" t="s">
        <v>392</v>
      </c>
    </row>
    <row r="63" spans="1:2" x14ac:dyDescent="0.3">
      <c r="A63" t="s">
        <v>393</v>
      </c>
    </row>
    <row r="64" spans="1:2" x14ac:dyDescent="0.3">
      <c r="A64" t="s">
        <v>394</v>
      </c>
    </row>
    <row r="65" spans="1:1" x14ac:dyDescent="0.3">
      <c r="A65" t="s">
        <v>395</v>
      </c>
    </row>
    <row r="66" spans="1:1" x14ac:dyDescent="0.3">
      <c r="A66" t="s">
        <v>396</v>
      </c>
    </row>
    <row r="67" spans="1:1" x14ac:dyDescent="0.3">
      <c r="A67" t="s">
        <v>397</v>
      </c>
    </row>
    <row r="68" spans="1:1" x14ac:dyDescent="0.3">
      <c r="A68" t="s">
        <v>398</v>
      </c>
    </row>
    <row r="69" spans="1:1" x14ac:dyDescent="0.3">
      <c r="A69" t="s">
        <v>399</v>
      </c>
    </row>
    <row r="70" spans="1:1" x14ac:dyDescent="0.3">
      <c r="A70" t="s">
        <v>400</v>
      </c>
    </row>
    <row r="71" spans="1:1" x14ac:dyDescent="0.3">
      <c r="A71" t="s">
        <v>401</v>
      </c>
    </row>
    <row r="72" spans="1:1" x14ac:dyDescent="0.3">
      <c r="A72" t="s">
        <v>402</v>
      </c>
    </row>
    <row r="73" spans="1:1" x14ac:dyDescent="0.3">
      <c r="A73" t="s">
        <v>403</v>
      </c>
    </row>
    <row r="74" spans="1:1" x14ac:dyDescent="0.3">
      <c r="A74" t="s">
        <v>404</v>
      </c>
    </row>
    <row r="75" spans="1:1" x14ac:dyDescent="0.3">
      <c r="A75" t="s">
        <v>405</v>
      </c>
    </row>
    <row r="76" spans="1:1" x14ac:dyDescent="0.3">
      <c r="A76" t="s">
        <v>406</v>
      </c>
    </row>
    <row r="77" spans="1:1" x14ac:dyDescent="0.3">
      <c r="A77" t="s">
        <v>407</v>
      </c>
    </row>
    <row r="78" spans="1:1" x14ac:dyDescent="0.3">
      <c r="A78" t="s">
        <v>408</v>
      </c>
    </row>
    <row r="79" spans="1:1" x14ac:dyDescent="0.3">
      <c r="A79" t="s">
        <v>409</v>
      </c>
    </row>
    <row r="80" spans="1:1" x14ac:dyDescent="0.3">
      <c r="A80" t="s">
        <v>410</v>
      </c>
    </row>
    <row r="81" spans="1:1" x14ac:dyDescent="0.3">
      <c r="A81" t="s">
        <v>411</v>
      </c>
    </row>
    <row r="82" spans="1:1" x14ac:dyDescent="0.3">
      <c r="A82" t="s">
        <v>412</v>
      </c>
    </row>
    <row r="83" spans="1:1" x14ac:dyDescent="0.3">
      <c r="A83" t="s">
        <v>413</v>
      </c>
    </row>
    <row r="84" spans="1:1" x14ac:dyDescent="0.3">
      <c r="A84" t="s">
        <v>414</v>
      </c>
    </row>
    <row r="85" spans="1:1" x14ac:dyDescent="0.3">
      <c r="A85" t="s">
        <v>415</v>
      </c>
    </row>
    <row r="86" spans="1:1" x14ac:dyDescent="0.3">
      <c r="A86" t="s">
        <v>416</v>
      </c>
    </row>
    <row r="87" spans="1:1" x14ac:dyDescent="0.3">
      <c r="A87" t="s">
        <v>417</v>
      </c>
    </row>
    <row r="88" spans="1:1" x14ac:dyDescent="0.3">
      <c r="A88" t="s">
        <v>418</v>
      </c>
    </row>
    <row r="89" spans="1:1" x14ac:dyDescent="0.3">
      <c r="A89" t="s">
        <v>419</v>
      </c>
    </row>
    <row r="90" spans="1:1" x14ac:dyDescent="0.3">
      <c r="A90" t="s">
        <v>420</v>
      </c>
    </row>
    <row r="91" spans="1:1" x14ac:dyDescent="0.3">
      <c r="A91" t="s">
        <v>421</v>
      </c>
    </row>
    <row r="92" spans="1:1" x14ac:dyDescent="0.3">
      <c r="A92" t="s">
        <v>422</v>
      </c>
    </row>
    <row r="93" spans="1:1" x14ac:dyDescent="0.3">
      <c r="A93" t="s">
        <v>423</v>
      </c>
    </row>
    <row r="94" spans="1:1" x14ac:dyDescent="0.3">
      <c r="A94" t="s">
        <v>424</v>
      </c>
    </row>
    <row r="95" spans="1:1" x14ac:dyDescent="0.3">
      <c r="A95" t="s">
        <v>425</v>
      </c>
    </row>
    <row r="96" spans="1:1" x14ac:dyDescent="0.3">
      <c r="A96" t="s">
        <v>426</v>
      </c>
    </row>
    <row r="97" spans="1:1" x14ac:dyDescent="0.3">
      <c r="A97" t="s">
        <v>427</v>
      </c>
    </row>
    <row r="98" spans="1:1" x14ac:dyDescent="0.3">
      <c r="A98" t="s">
        <v>428</v>
      </c>
    </row>
    <row r="99" spans="1:1" x14ac:dyDescent="0.3">
      <c r="A99" t="s">
        <v>429</v>
      </c>
    </row>
    <row r="100" spans="1:1" x14ac:dyDescent="0.3">
      <c r="A100" t="s">
        <v>430</v>
      </c>
    </row>
    <row r="101" spans="1:1" x14ac:dyDescent="0.3">
      <c r="A101" t="s">
        <v>431</v>
      </c>
    </row>
    <row r="102" spans="1:1" x14ac:dyDescent="0.3">
      <c r="A102" t="s">
        <v>432</v>
      </c>
    </row>
    <row r="103" spans="1:1" x14ac:dyDescent="0.3">
      <c r="A103" t="s">
        <v>433</v>
      </c>
    </row>
    <row r="104" spans="1:1" x14ac:dyDescent="0.3">
      <c r="A104" t="s">
        <v>434</v>
      </c>
    </row>
    <row r="105" spans="1:1" x14ac:dyDescent="0.3">
      <c r="A105" t="s">
        <v>435</v>
      </c>
    </row>
    <row r="106" spans="1:1" x14ac:dyDescent="0.3">
      <c r="A106" t="s">
        <v>436</v>
      </c>
    </row>
    <row r="107" spans="1:1" x14ac:dyDescent="0.3">
      <c r="A107" t="s">
        <v>437</v>
      </c>
    </row>
    <row r="108" spans="1:1" x14ac:dyDescent="0.3">
      <c r="A108" t="s">
        <v>438</v>
      </c>
    </row>
    <row r="109" spans="1:1" x14ac:dyDescent="0.3">
      <c r="A109" t="s">
        <v>439</v>
      </c>
    </row>
    <row r="110" spans="1:1" x14ac:dyDescent="0.3">
      <c r="A110" t="s">
        <v>440</v>
      </c>
    </row>
    <row r="111" spans="1:1" x14ac:dyDescent="0.3">
      <c r="A111" t="s">
        <v>441</v>
      </c>
    </row>
    <row r="112" spans="1:1" x14ac:dyDescent="0.3">
      <c r="A112" t="s">
        <v>442</v>
      </c>
    </row>
    <row r="113" spans="1:1" x14ac:dyDescent="0.3">
      <c r="A113" t="s">
        <v>443</v>
      </c>
    </row>
    <row r="114" spans="1:1" x14ac:dyDescent="0.3">
      <c r="A114" t="s">
        <v>444</v>
      </c>
    </row>
    <row r="115" spans="1:1" x14ac:dyDescent="0.3">
      <c r="A115" t="s">
        <v>445</v>
      </c>
    </row>
    <row r="116" spans="1:1" x14ac:dyDescent="0.3">
      <c r="A116" t="s">
        <v>446</v>
      </c>
    </row>
    <row r="117" spans="1:1" x14ac:dyDescent="0.3">
      <c r="A117" t="s">
        <v>447</v>
      </c>
    </row>
    <row r="118" spans="1:1" x14ac:dyDescent="0.3">
      <c r="A118" t="s">
        <v>448</v>
      </c>
    </row>
    <row r="119" spans="1:1" x14ac:dyDescent="0.3">
      <c r="A119" t="s">
        <v>449</v>
      </c>
    </row>
    <row r="120" spans="1:1" x14ac:dyDescent="0.3">
      <c r="A120" t="s">
        <v>450</v>
      </c>
    </row>
    <row r="121" spans="1:1" x14ac:dyDescent="0.3">
      <c r="A121" t="s">
        <v>451</v>
      </c>
    </row>
    <row r="122" spans="1:1" x14ac:dyDescent="0.3">
      <c r="A122" t="s">
        <v>452</v>
      </c>
    </row>
    <row r="123" spans="1:1" x14ac:dyDescent="0.3">
      <c r="A123" t="s">
        <v>453</v>
      </c>
    </row>
    <row r="124" spans="1:1" x14ac:dyDescent="0.3">
      <c r="A124" t="s">
        <v>454</v>
      </c>
    </row>
    <row r="125" spans="1:1" x14ac:dyDescent="0.3">
      <c r="A125" t="s">
        <v>455</v>
      </c>
    </row>
    <row r="126" spans="1:1" x14ac:dyDescent="0.3">
      <c r="A126" t="s">
        <v>456</v>
      </c>
    </row>
    <row r="127" spans="1:1" x14ac:dyDescent="0.3">
      <c r="A127" t="s">
        <v>457</v>
      </c>
    </row>
    <row r="128" spans="1:1" x14ac:dyDescent="0.3">
      <c r="A128" t="s">
        <v>458</v>
      </c>
    </row>
    <row r="129" spans="1:1" x14ac:dyDescent="0.3">
      <c r="A129" t="s">
        <v>459</v>
      </c>
    </row>
    <row r="130" spans="1:1" x14ac:dyDescent="0.3">
      <c r="A130" t="s">
        <v>460</v>
      </c>
    </row>
    <row r="131" spans="1:1" x14ac:dyDescent="0.3">
      <c r="A131" t="s">
        <v>461</v>
      </c>
    </row>
    <row r="132" spans="1:1" x14ac:dyDescent="0.3">
      <c r="A132" t="s">
        <v>462</v>
      </c>
    </row>
    <row r="133" spans="1:1" x14ac:dyDescent="0.3">
      <c r="A133" t="s">
        <v>463</v>
      </c>
    </row>
    <row r="134" spans="1:1" x14ac:dyDescent="0.3">
      <c r="A134" t="s">
        <v>464</v>
      </c>
    </row>
    <row r="135" spans="1:1" x14ac:dyDescent="0.3">
      <c r="A135" t="s">
        <v>465</v>
      </c>
    </row>
    <row r="136" spans="1:1" x14ac:dyDescent="0.3">
      <c r="A136" t="s">
        <v>466</v>
      </c>
    </row>
    <row r="137" spans="1:1" x14ac:dyDescent="0.3">
      <c r="A137" t="s">
        <v>467</v>
      </c>
    </row>
    <row r="138" spans="1:1" x14ac:dyDescent="0.3">
      <c r="A138" t="s">
        <v>468</v>
      </c>
    </row>
    <row r="139" spans="1:1" x14ac:dyDescent="0.3">
      <c r="A139" t="s">
        <v>469</v>
      </c>
    </row>
    <row r="140" spans="1:1" x14ac:dyDescent="0.3">
      <c r="A140" t="s">
        <v>470</v>
      </c>
    </row>
    <row r="141" spans="1:1" x14ac:dyDescent="0.3">
      <c r="A141" t="s">
        <v>471</v>
      </c>
    </row>
    <row r="142" spans="1:1" x14ac:dyDescent="0.3">
      <c r="A142" t="s">
        <v>472</v>
      </c>
    </row>
    <row r="143" spans="1:1" x14ac:dyDescent="0.3">
      <c r="A143" t="s">
        <v>473</v>
      </c>
    </row>
    <row r="144" spans="1:1" x14ac:dyDescent="0.3">
      <c r="A144" t="s">
        <v>474</v>
      </c>
    </row>
    <row r="145" spans="1:1" x14ac:dyDescent="0.3">
      <c r="A145" t="s">
        <v>475</v>
      </c>
    </row>
    <row r="146" spans="1:1" x14ac:dyDescent="0.3">
      <c r="A146" t="s">
        <v>476</v>
      </c>
    </row>
    <row r="147" spans="1:1" x14ac:dyDescent="0.3">
      <c r="A147" t="s">
        <v>477</v>
      </c>
    </row>
    <row r="148" spans="1:1" x14ac:dyDescent="0.3">
      <c r="A148" t="s">
        <v>478</v>
      </c>
    </row>
    <row r="149" spans="1:1" x14ac:dyDescent="0.3">
      <c r="A149" t="s">
        <v>479</v>
      </c>
    </row>
    <row r="150" spans="1:1" x14ac:dyDescent="0.3">
      <c r="A150" t="s">
        <v>480</v>
      </c>
    </row>
    <row r="151" spans="1:1" x14ac:dyDescent="0.3">
      <c r="A151" t="s">
        <v>481</v>
      </c>
    </row>
    <row r="152" spans="1:1" x14ac:dyDescent="0.3">
      <c r="A152" t="s">
        <v>482</v>
      </c>
    </row>
    <row r="153" spans="1:1" x14ac:dyDescent="0.3">
      <c r="A153" t="s">
        <v>483</v>
      </c>
    </row>
    <row r="154" spans="1:1" x14ac:dyDescent="0.3">
      <c r="A154" t="s">
        <v>484</v>
      </c>
    </row>
    <row r="155" spans="1:1" x14ac:dyDescent="0.3">
      <c r="A155" t="s">
        <v>485</v>
      </c>
    </row>
    <row r="156" spans="1:1" x14ac:dyDescent="0.3">
      <c r="A156" t="s">
        <v>486</v>
      </c>
    </row>
    <row r="157" spans="1:1" x14ac:dyDescent="0.3">
      <c r="A157" t="s">
        <v>487</v>
      </c>
    </row>
    <row r="158" spans="1:1" x14ac:dyDescent="0.3">
      <c r="A158" t="s">
        <v>488</v>
      </c>
    </row>
    <row r="159" spans="1:1" x14ac:dyDescent="0.3">
      <c r="A159" t="s">
        <v>489</v>
      </c>
    </row>
    <row r="160" spans="1:1" x14ac:dyDescent="0.3">
      <c r="A160" t="s">
        <v>490</v>
      </c>
    </row>
    <row r="161" spans="1:1" x14ac:dyDescent="0.3">
      <c r="A161" t="s">
        <v>491</v>
      </c>
    </row>
    <row r="162" spans="1:1" x14ac:dyDescent="0.3">
      <c r="A162" t="s">
        <v>492</v>
      </c>
    </row>
    <row r="163" spans="1:1" x14ac:dyDescent="0.3">
      <c r="A163" t="s">
        <v>493</v>
      </c>
    </row>
    <row r="164" spans="1:1" x14ac:dyDescent="0.3">
      <c r="A164" t="s">
        <v>494</v>
      </c>
    </row>
    <row r="165" spans="1:1" x14ac:dyDescent="0.3">
      <c r="A165" t="s">
        <v>495</v>
      </c>
    </row>
    <row r="166" spans="1:1" x14ac:dyDescent="0.3">
      <c r="A166" t="s">
        <v>496</v>
      </c>
    </row>
    <row r="167" spans="1:1" x14ac:dyDescent="0.3">
      <c r="A167" t="s">
        <v>497</v>
      </c>
    </row>
    <row r="168" spans="1:1" x14ac:dyDescent="0.3">
      <c r="A168" t="s">
        <v>498</v>
      </c>
    </row>
    <row r="169" spans="1:1" x14ac:dyDescent="0.3">
      <c r="A169" t="s">
        <v>499</v>
      </c>
    </row>
    <row r="170" spans="1:1" x14ac:dyDescent="0.3">
      <c r="A170" t="s">
        <v>500</v>
      </c>
    </row>
    <row r="171" spans="1:1" x14ac:dyDescent="0.3">
      <c r="A171" t="s">
        <v>501</v>
      </c>
    </row>
    <row r="172" spans="1:1" x14ac:dyDescent="0.3">
      <c r="A172" t="s">
        <v>502</v>
      </c>
    </row>
    <row r="173" spans="1:1" x14ac:dyDescent="0.3">
      <c r="A173" t="s">
        <v>503</v>
      </c>
    </row>
    <row r="174" spans="1:1" x14ac:dyDescent="0.3">
      <c r="A174" t="s">
        <v>504</v>
      </c>
    </row>
    <row r="175" spans="1:1" x14ac:dyDescent="0.3">
      <c r="A175" t="s">
        <v>505</v>
      </c>
    </row>
    <row r="176" spans="1:1" x14ac:dyDescent="0.3">
      <c r="A176" t="s">
        <v>506</v>
      </c>
    </row>
    <row r="177" spans="1:1" x14ac:dyDescent="0.3">
      <c r="A177" t="s">
        <v>507</v>
      </c>
    </row>
    <row r="178" spans="1:1" x14ac:dyDescent="0.3">
      <c r="A178" t="s">
        <v>508</v>
      </c>
    </row>
    <row r="179" spans="1:1" x14ac:dyDescent="0.3">
      <c r="A179" t="s">
        <v>509</v>
      </c>
    </row>
    <row r="180" spans="1:1" x14ac:dyDescent="0.3">
      <c r="A180" t="s">
        <v>510</v>
      </c>
    </row>
    <row r="181" spans="1:1" x14ac:dyDescent="0.3">
      <c r="A181" t="s">
        <v>511</v>
      </c>
    </row>
    <row r="182" spans="1:1" x14ac:dyDescent="0.3">
      <c r="A182" t="s">
        <v>512</v>
      </c>
    </row>
    <row r="183" spans="1:1" x14ac:dyDescent="0.3">
      <c r="A183" t="s">
        <v>513</v>
      </c>
    </row>
    <row r="184" spans="1:1" x14ac:dyDescent="0.3">
      <c r="A184" t="s">
        <v>514</v>
      </c>
    </row>
    <row r="185" spans="1:1" x14ac:dyDescent="0.3">
      <c r="A185" t="s">
        <v>515</v>
      </c>
    </row>
    <row r="186" spans="1:1" x14ac:dyDescent="0.3">
      <c r="A186" t="s">
        <v>516</v>
      </c>
    </row>
    <row r="187" spans="1:1" x14ac:dyDescent="0.3">
      <c r="A187" t="s">
        <v>517</v>
      </c>
    </row>
    <row r="188" spans="1:1" x14ac:dyDescent="0.3">
      <c r="A188" t="s">
        <v>518</v>
      </c>
    </row>
    <row r="189" spans="1:1" x14ac:dyDescent="0.3">
      <c r="A189" t="s">
        <v>519</v>
      </c>
    </row>
    <row r="190" spans="1:1" x14ac:dyDescent="0.3">
      <c r="A190" t="s">
        <v>520</v>
      </c>
    </row>
    <row r="191" spans="1:1" x14ac:dyDescent="0.3">
      <c r="A191" t="s">
        <v>521</v>
      </c>
    </row>
    <row r="192" spans="1:1" x14ac:dyDescent="0.3">
      <c r="A192" t="s">
        <v>522</v>
      </c>
    </row>
    <row r="193" spans="1:1" x14ac:dyDescent="0.3">
      <c r="A193" t="s">
        <v>523</v>
      </c>
    </row>
    <row r="194" spans="1:1" x14ac:dyDescent="0.3">
      <c r="A194" t="s">
        <v>524</v>
      </c>
    </row>
    <row r="195" spans="1:1" x14ac:dyDescent="0.3">
      <c r="A195" t="s">
        <v>525</v>
      </c>
    </row>
    <row r="196" spans="1:1" x14ac:dyDescent="0.3">
      <c r="A196" t="s">
        <v>526</v>
      </c>
    </row>
    <row r="197" spans="1:1" x14ac:dyDescent="0.3">
      <c r="A197" t="s">
        <v>527</v>
      </c>
    </row>
    <row r="198" spans="1:1" x14ac:dyDescent="0.3">
      <c r="A198" t="s">
        <v>528</v>
      </c>
    </row>
    <row r="199" spans="1:1" x14ac:dyDescent="0.3">
      <c r="A199" t="s">
        <v>529</v>
      </c>
    </row>
    <row r="200" spans="1:1" x14ac:dyDescent="0.3">
      <c r="A200" t="s">
        <v>530</v>
      </c>
    </row>
    <row r="201" spans="1:1" x14ac:dyDescent="0.3">
      <c r="A201" t="s">
        <v>531</v>
      </c>
    </row>
    <row r="202" spans="1:1" x14ac:dyDescent="0.3">
      <c r="A202" t="s">
        <v>532</v>
      </c>
    </row>
    <row r="203" spans="1:1" x14ac:dyDescent="0.3">
      <c r="A203" t="s">
        <v>533</v>
      </c>
    </row>
    <row r="204" spans="1:1" x14ac:dyDescent="0.3">
      <c r="A204" t="s">
        <v>534</v>
      </c>
    </row>
    <row r="205" spans="1:1" x14ac:dyDescent="0.3">
      <c r="A205" t="s">
        <v>535</v>
      </c>
    </row>
    <row r="206" spans="1:1" x14ac:dyDescent="0.3">
      <c r="A206" t="s">
        <v>536</v>
      </c>
    </row>
    <row r="207" spans="1:1" x14ac:dyDescent="0.3">
      <c r="A207" t="s">
        <v>537</v>
      </c>
    </row>
    <row r="208" spans="1:1" x14ac:dyDescent="0.3">
      <c r="A208" t="s">
        <v>538</v>
      </c>
    </row>
    <row r="209" spans="1:1" x14ac:dyDescent="0.3">
      <c r="A209" t="s">
        <v>539</v>
      </c>
    </row>
    <row r="210" spans="1:1" x14ac:dyDescent="0.3">
      <c r="A210" t="s">
        <v>540</v>
      </c>
    </row>
    <row r="211" spans="1:1" x14ac:dyDescent="0.3">
      <c r="A211" t="s">
        <v>541</v>
      </c>
    </row>
    <row r="212" spans="1:1" x14ac:dyDescent="0.3">
      <c r="A212" t="s">
        <v>542</v>
      </c>
    </row>
    <row r="213" spans="1:1" x14ac:dyDescent="0.3">
      <c r="A213" t="s">
        <v>543</v>
      </c>
    </row>
    <row r="214" spans="1:1" x14ac:dyDescent="0.3">
      <c r="A214" t="s">
        <v>544</v>
      </c>
    </row>
    <row r="215" spans="1:1" x14ac:dyDescent="0.3">
      <c r="A215" t="s">
        <v>545</v>
      </c>
    </row>
    <row r="216" spans="1:1" x14ac:dyDescent="0.3">
      <c r="A216" t="s">
        <v>546</v>
      </c>
    </row>
    <row r="217" spans="1:1" x14ac:dyDescent="0.3">
      <c r="A217" t="s">
        <v>547</v>
      </c>
    </row>
    <row r="218" spans="1:1" x14ac:dyDescent="0.3">
      <c r="A218" t="s">
        <v>548</v>
      </c>
    </row>
    <row r="219" spans="1:1" x14ac:dyDescent="0.3">
      <c r="A219" t="s">
        <v>549</v>
      </c>
    </row>
    <row r="220" spans="1:1" x14ac:dyDescent="0.3">
      <c r="A220" t="s">
        <v>550</v>
      </c>
    </row>
    <row r="221" spans="1:1" x14ac:dyDescent="0.3">
      <c r="A221" t="s">
        <v>551</v>
      </c>
    </row>
    <row r="222" spans="1:1" x14ac:dyDescent="0.3">
      <c r="A222" t="s">
        <v>552</v>
      </c>
    </row>
    <row r="223" spans="1:1" x14ac:dyDescent="0.3">
      <c r="A223" t="s">
        <v>553</v>
      </c>
    </row>
    <row r="224" spans="1:1" x14ac:dyDescent="0.3">
      <c r="A224" t="s">
        <v>554</v>
      </c>
    </row>
    <row r="225" spans="1:1" x14ac:dyDescent="0.3">
      <c r="A225" t="s">
        <v>555</v>
      </c>
    </row>
    <row r="226" spans="1:1" x14ac:dyDescent="0.3">
      <c r="A226" t="s">
        <v>556</v>
      </c>
    </row>
    <row r="227" spans="1:1" x14ac:dyDescent="0.3">
      <c r="A227" t="s">
        <v>557</v>
      </c>
    </row>
    <row r="228" spans="1:1" x14ac:dyDescent="0.3">
      <c r="A228" t="s">
        <v>558</v>
      </c>
    </row>
    <row r="229" spans="1:1" x14ac:dyDescent="0.3">
      <c r="A229" t="s">
        <v>559</v>
      </c>
    </row>
    <row r="230" spans="1:1" x14ac:dyDescent="0.3">
      <c r="A230" t="s">
        <v>560</v>
      </c>
    </row>
    <row r="231" spans="1:1" x14ac:dyDescent="0.3">
      <c r="A231" t="s">
        <v>561</v>
      </c>
    </row>
    <row r="232" spans="1:1" x14ac:dyDescent="0.3">
      <c r="A232" t="s">
        <v>562</v>
      </c>
    </row>
    <row r="233" spans="1:1" x14ac:dyDescent="0.3">
      <c r="A233" t="s">
        <v>563</v>
      </c>
    </row>
    <row r="234" spans="1:1" x14ac:dyDescent="0.3">
      <c r="A234" t="s">
        <v>564</v>
      </c>
    </row>
    <row r="235" spans="1:1" x14ac:dyDescent="0.3">
      <c r="A235" t="s">
        <v>565</v>
      </c>
    </row>
    <row r="236" spans="1:1" x14ac:dyDescent="0.3">
      <c r="A236" t="s">
        <v>566</v>
      </c>
    </row>
    <row r="237" spans="1:1" x14ac:dyDescent="0.3">
      <c r="A237" t="s">
        <v>567</v>
      </c>
    </row>
    <row r="238" spans="1:1" x14ac:dyDescent="0.3">
      <c r="A238" t="s">
        <v>568</v>
      </c>
    </row>
    <row r="239" spans="1:1" x14ac:dyDescent="0.3">
      <c r="A239" t="s">
        <v>569</v>
      </c>
    </row>
    <row r="240" spans="1:1" x14ac:dyDescent="0.3">
      <c r="A240" t="s">
        <v>570</v>
      </c>
    </row>
    <row r="241" spans="1:1" x14ac:dyDescent="0.3">
      <c r="A241" t="s">
        <v>571</v>
      </c>
    </row>
    <row r="242" spans="1:1" x14ac:dyDescent="0.3">
      <c r="A242" t="s">
        <v>572</v>
      </c>
    </row>
    <row r="243" spans="1:1" x14ac:dyDescent="0.3">
      <c r="A243" t="s">
        <v>573</v>
      </c>
    </row>
    <row r="244" spans="1:1" x14ac:dyDescent="0.3">
      <c r="A244" t="s">
        <v>574</v>
      </c>
    </row>
    <row r="245" spans="1:1" x14ac:dyDescent="0.3">
      <c r="A245" t="s">
        <v>575</v>
      </c>
    </row>
    <row r="246" spans="1:1" x14ac:dyDescent="0.3">
      <c r="A246" t="s">
        <v>576</v>
      </c>
    </row>
    <row r="247" spans="1:1" x14ac:dyDescent="0.3">
      <c r="A247" t="s">
        <v>577</v>
      </c>
    </row>
    <row r="248" spans="1:1" x14ac:dyDescent="0.3">
      <c r="A248" t="s">
        <v>578</v>
      </c>
    </row>
    <row r="249" spans="1:1" x14ac:dyDescent="0.3">
      <c r="A249" t="s">
        <v>579</v>
      </c>
    </row>
    <row r="250" spans="1:1" x14ac:dyDescent="0.3">
      <c r="A250" t="s">
        <v>580</v>
      </c>
    </row>
    <row r="251" spans="1:1" x14ac:dyDescent="0.3">
      <c r="A251" t="s">
        <v>581</v>
      </c>
    </row>
    <row r="252" spans="1:1" x14ac:dyDescent="0.3">
      <c r="A252" t="s">
        <v>582</v>
      </c>
    </row>
    <row r="253" spans="1:1" x14ac:dyDescent="0.3">
      <c r="A253" t="s">
        <v>583</v>
      </c>
    </row>
    <row r="254" spans="1:1" x14ac:dyDescent="0.3">
      <c r="A254" t="s">
        <v>584</v>
      </c>
    </row>
    <row r="255" spans="1:1" x14ac:dyDescent="0.3">
      <c r="A255" t="s">
        <v>585</v>
      </c>
    </row>
    <row r="256" spans="1:1" x14ac:dyDescent="0.3">
      <c r="A256" t="s">
        <v>586</v>
      </c>
    </row>
    <row r="257" spans="1:1" x14ac:dyDescent="0.3">
      <c r="A257" t="s">
        <v>587</v>
      </c>
    </row>
    <row r="258" spans="1:1" x14ac:dyDescent="0.3">
      <c r="A258" t="s">
        <v>588</v>
      </c>
    </row>
    <row r="259" spans="1:1" x14ac:dyDescent="0.3">
      <c r="A259" t="s">
        <v>589</v>
      </c>
    </row>
    <row r="260" spans="1:1" x14ac:dyDescent="0.3">
      <c r="A260" t="s">
        <v>590</v>
      </c>
    </row>
    <row r="261" spans="1:1" x14ac:dyDescent="0.3">
      <c r="A261" t="s">
        <v>591</v>
      </c>
    </row>
    <row r="262" spans="1:1" x14ac:dyDescent="0.3">
      <c r="A262" t="s">
        <v>592</v>
      </c>
    </row>
    <row r="263" spans="1:1" x14ac:dyDescent="0.3">
      <c r="A263" t="s">
        <v>593</v>
      </c>
    </row>
    <row r="264" spans="1:1" x14ac:dyDescent="0.3">
      <c r="A264" t="s">
        <v>594</v>
      </c>
    </row>
    <row r="265" spans="1:1" x14ac:dyDescent="0.3">
      <c r="A265" t="s">
        <v>595</v>
      </c>
    </row>
    <row r="266" spans="1:1" x14ac:dyDescent="0.3">
      <c r="A266" t="s">
        <v>596</v>
      </c>
    </row>
    <row r="267" spans="1:1" x14ac:dyDescent="0.3">
      <c r="A267" t="s">
        <v>597</v>
      </c>
    </row>
    <row r="268" spans="1:1" x14ac:dyDescent="0.3">
      <c r="A268" t="s">
        <v>598</v>
      </c>
    </row>
    <row r="269" spans="1:1" x14ac:dyDescent="0.3">
      <c r="A269" t="s">
        <v>599</v>
      </c>
    </row>
    <row r="270" spans="1:1" x14ac:dyDescent="0.3">
      <c r="A270" t="s">
        <v>600</v>
      </c>
    </row>
    <row r="271" spans="1:1" x14ac:dyDescent="0.3">
      <c r="A271" t="s">
        <v>601</v>
      </c>
    </row>
    <row r="272" spans="1:1" x14ac:dyDescent="0.3">
      <c r="A272" t="s">
        <v>602</v>
      </c>
    </row>
    <row r="273" spans="1:1" x14ac:dyDescent="0.3">
      <c r="A273" t="s">
        <v>603</v>
      </c>
    </row>
    <row r="274" spans="1:1" x14ac:dyDescent="0.3">
      <c r="A274" t="s">
        <v>604</v>
      </c>
    </row>
    <row r="275" spans="1:1" x14ac:dyDescent="0.3">
      <c r="A275" t="s">
        <v>605</v>
      </c>
    </row>
    <row r="276" spans="1:1" x14ac:dyDescent="0.3">
      <c r="A276" t="s">
        <v>606</v>
      </c>
    </row>
    <row r="277" spans="1:1" x14ac:dyDescent="0.3">
      <c r="A277" t="s">
        <v>607</v>
      </c>
    </row>
    <row r="278" spans="1:1" x14ac:dyDescent="0.3">
      <c r="A278" t="s">
        <v>608</v>
      </c>
    </row>
    <row r="279" spans="1:1" x14ac:dyDescent="0.3">
      <c r="A279" t="s">
        <v>609</v>
      </c>
    </row>
    <row r="280" spans="1:1" x14ac:dyDescent="0.3">
      <c r="A280" t="s">
        <v>610</v>
      </c>
    </row>
    <row r="281" spans="1:1" x14ac:dyDescent="0.3">
      <c r="A281" t="s">
        <v>611</v>
      </c>
    </row>
    <row r="282" spans="1:1" x14ac:dyDescent="0.3">
      <c r="A282" t="s">
        <v>612</v>
      </c>
    </row>
    <row r="283" spans="1:1" x14ac:dyDescent="0.3">
      <c r="A283" t="s">
        <v>613</v>
      </c>
    </row>
    <row r="284" spans="1:1" x14ac:dyDescent="0.3">
      <c r="A284" t="s">
        <v>614</v>
      </c>
    </row>
    <row r="285" spans="1:1" x14ac:dyDescent="0.3">
      <c r="A285" t="s">
        <v>615</v>
      </c>
    </row>
    <row r="286" spans="1:1" x14ac:dyDescent="0.3">
      <c r="A286" t="s">
        <v>616</v>
      </c>
    </row>
    <row r="287" spans="1:1" x14ac:dyDescent="0.3">
      <c r="A287" t="s">
        <v>617</v>
      </c>
    </row>
    <row r="288" spans="1:1" x14ac:dyDescent="0.3">
      <c r="A288" t="s">
        <v>618</v>
      </c>
    </row>
    <row r="289" spans="1:1" x14ac:dyDescent="0.3">
      <c r="A289" t="s">
        <v>619</v>
      </c>
    </row>
    <row r="290" spans="1:1" x14ac:dyDescent="0.3">
      <c r="A290" t="s">
        <v>620</v>
      </c>
    </row>
    <row r="291" spans="1:1" x14ac:dyDescent="0.3">
      <c r="A291" t="s">
        <v>621</v>
      </c>
    </row>
    <row r="292" spans="1:1" x14ac:dyDescent="0.3">
      <c r="A292" t="s">
        <v>622</v>
      </c>
    </row>
    <row r="293" spans="1:1" x14ac:dyDescent="0.3">
      <c r="A293" t="s">
        <v>623</v>
      </c>
    </row>
    <row r="294" spans="1:1" x14ac:dyDescent="0.3">
      <c r="A294" t="s">
        <v>624</v>
      </c>
    </row>
    <row r="295" spans="1:1" x14ac:dyDescent="0.3">
      <c r="A295" t="s">
        <v>625</v>
      </c>
    </row>
    <row r="296" spans="1:1" x14ac:dyDescent="0.3">
      <c r="A296" t="s">
        <v>626</v>
      </c>
    </row>
    <row r="297" spans="1:1" x14ac:dyDescent="0.3">
      <c r="A297" t="s">
        <v>627</v>
      </c>
    </row>
    <row r="298" spans="1:1" x14ac:dyDescent="0.3">
      <c r="A298" t="s">
        <v>628</v>
      </c>
    </row>
    <row r="299" spans="1:1" x14ac:dyDescent="0.3">
      <c r="A299" t="s">
        <v>629</v>
      </c>
    </row>
    <row r="300" spans="1:1" x14ac:dyDescent="0.3">
      <c r="A300" t="s">
        <v>630</v>
      </c>
    </row>
    <row r="301" spans="1:1" x14ac:dyDescent="0.3">
      <c r="A301" t="s">
        <v>631</v>
      </c>
    </row>
    <row r="302" spans="1:1" x14ac:dyDescent="0.3">
      <c r="A302" t="s">
        <v>632</v>
      </c>
    </row>
    <row r="303" spans="1:1" x14ac:dyDescent="0.3">
      <c r="A303" t="s">
        <v>633</v>
      </c>
    </row>
    <row r="304" spans="1:1" x14ac:dyDescent="0.3">
      <c r="A304" t="s">
        <v>634</v>
      </c>
    </row>
    <row r="305" spans="1:1" x14ac:dyDescent="0.3">
      <c r="A305" t="s">
        <v>635</v>
      </c>
    </row>
    <row r="306" spans="1:1" x14ac:dyDescent="0.3">
      <c r="A306" t="s">
        <v>636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782CFAB4-352B-4987-AC53-0D1A47E00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</vt:lpstr>
      <vt:lpstr>Expediente</vt:lpstr>
      <vt:lpstr>Prescripción</vt:lpstr>
      <vt:lpstr>Medidas</vt:lpstr>
      <vt:lpstr>Alelos</vt:lpstr>
      <vt:lpstr>Casos complejos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de Luis Roman, Daniel-Antonio</cp:lastModifiedBy>
  <cp:revision/>
  <dcterms:created xsi:type="dcterms:W3CDTF">2023-09-22T11:04:01Z</dcterms:created>
  <dcterms:modified xsi:type="dcterms:W3CDTF">2024-12-18T15:38:22Z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