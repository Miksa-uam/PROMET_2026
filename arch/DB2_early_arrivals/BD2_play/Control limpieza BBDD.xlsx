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js2\proyectoshcuva\alfredomartinez\bbva\bbddgeneticaextraccion\"/>
    </mc:Choice>
  </mc:AlternateContent>
  <xr:revisionPtr revIDLastSave="0" documentId="8_{E7569778-5CCF-49AB-8429-992B8C0C49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1" l="1"/>
  <c r="G42" i="1"/>
  <c r="F42" i="1"/>
  <c r="E42" i="1"/>
  <c r="D42" i="1"/>
  <c r="H32" i="1"/>
  <c r="G32" i="1"/>
  <c r="F32" i="1"/>
  <c r="E32" i="1"/>
  <c r="D32" i="1"/>
  <c r="H26" i="1"/>
  <c r="G26" i="1"/>
  <c r="F26" i="1"/>
  <c r="E26" i="1"/>
  <c r="D26" i="1"/>
</calcChain>
</file>

<file path=xl/sharedStrings.xml><?xml version="1.0" encoding="utf-8"?>
<sst xmlns="http://schemas.openxmlformats.org/spreadsheetml/2006/main" count="98" uniqueCount="61">
  <si>
    <t>Acción sobre BBDD</t>
  </si>
  <si>
    <t>Orden</t>
  </si>
  <si>
    <t>Entidad</t>
  </si>
  <si>
    <t>Num. Pacientes</t>
  </si>
  <si>
    <t>Num. Exp.</t>
  </si>
  <si>
    <t>Num. Presc.</t>
  </si>
  <si>
    <t>Num. Meas.</t>
  </si>
  <si>
    <t>Observaciones</t>
  </si>
  <si>
    <t>Validado</t>
  </si>
  <si>
    <t>Extracción BBDD del sistema</t>
  </si>
  <si>
    <t>Todos</t>
  </si>
  <si>
    <t>Eliminación lineas titulos repetidas y measurements sin PAC</t>
  </si>
  <si>
    <t>PAC</t>
  </si>
  <si>
    <t>No se había implementado antes de la extracción</t>
  </si>
  <si>
    <t>Eliminar pacientes altura inferior a 140 o sin altura</t>
  </si>
  <si>
    <t>No se eliminan los pacientes, se elimina el dato y queda como missing?</t>
  </si>
  <si>
    <t>Expedientes: Se eliminan métodos que no aplican | Healthy Living No: Obviar Expediente y PRE HL y pesadas correspondientes</t>
  </si>
  <si>
    <t>EXP</t>
  </si>
  <si>
    <t>Sólo deben quedar: PNK, Diaprokal, Expert y de Define (sólo pacientes con BMI&gt;=25)</t>
  </si>
  <si>
    <t>Sólo mayores de 18 años al momento alta de expediente.</t>
  </si>
  <si>
    <t xml:space="preserve">Se calcula restando la fecha de nacimiento y </t>
  </si>
  <si>
    <t>Limpieza altura</t>
  </si>
  <si>
    <t>Prescripción - Eliminar prescripciones que no aplican sin método</t>
  </si>
  <si>
    <t>PRE</t>
  </si>
  <si>
    <t>Prescripciones sin expedientes o pacientes</t>
  </si>
  <si>
    <t>Eliminar prescripciones sin compra OJO si el PAC tiene un exp con compra y uno sin</t>
  </si>
  <si>
    <t>Prescripciones con fecha de cierre incoherente</t>
  </si>
  <si>
    <t>MES</t>
  </si>
  <si>
    <t>Se limpian registros con todos los valores a -1 y 0</t>
  </si>
  <si>
    <t>MES-PAC</t>
  </si>
  <si>
    <t>Limpieza cruzada de pacientes con medida y pacientes filtrados de CRM</t>
  </si>
  <si>
    <t>Agua y músculo negativo eliminar</t>
  </si>
  <si>
    <t>Eliminar IMC &lt;=25</t>
  </si>
  <si>
    <t>N parcial sin %agua</t>
  </si>
  <si>
    <t>Número de muestras final</t>
  </si>
  <si>
    <t>Se eliminan prescripciones de pacientes que no están en MES</t>
  </si>
  <si>
    <t>Se eliminan expedientes que no tienen PRE</t>
  </si>
  <si>
    <t>N final</t>
  </si>
  <si>
    <t>Se eliminan registros con %agua  &lt;30 o &gt;57</t>
  </si>
  <si>
    <t>N parcial llimpieza datos</t>
  </si>
  <si>
    <t>Número de muestras limpieza datos</t>
  </si>
  <si>
    <t>Número de muestras sin % agua</t>
  </si>
  <si>
    <t>Num. Alelos</t>
  </si>
  <si>
    <t>Eliminar datos pruebas (TEST99/Prueba)</t>
  </si>
  <si>
    <t>Datos obtenidos por IT: 
PREs del 01/01/2020 al 29/02/2024. 
EXP de esas PRES. 
PAC de esas PRES.
MES Todas las medidas de paciente.
ALE Todos los alérgenos de cada muestra.</t>
  </si>
  <si>
    <t>Prescripción - Eliminar prescripciones que no aplican sin método o método no contemplado</t>
  </si>
  <si>
    <t>Se eliminan las paciente sin PRE</t>
  </si>
  <si>
    <t>ALE</t>
  </si>
  <si>
    <t>Muestras de paciene</t>
  </si>
  <si>
    <t>Se eliminan las muestras que no esten en PAC</t>
  </si>
  <si>
    <t>Pacientes sin Bloqueo total y con GDPR4 o GDPR10 informado</t>
  </si>
  <si>
    <t>Se eliminan medids sin paciente</t>
  </si>
  <si>
    <t>Se eliminan prescripciones de pacientes que no están en PAC</t>
  </si>
  <si>
    <t>Última muestra</t>
  </si>
  <si>
    <t>Nos quedamos con la última muestra de cada paciente</t>
  </si>
  <si>
    <t>Eliminar prescripciones con fecha prescripción inferior a Marzo 2020</t>
  </si>
  <si>
    <t>Se liminan expedientes sin PRE</t>
  </si>
  <si>
    <t>Se eliminan pacientes sin PRE</t>
  </si>
  <si>
    <t>Se eliminan medidas sin PAC</t>
  </si>
  <si>
    <t>Se eliminan mustras sin PAC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</si>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</sst>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7" fillId="0" borderId="0"/>
  </cellStyleXfs>
  <cellXfs count="2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3" fontId="0" fillId="0" borderId="0" xfId="0" applyNumberFormat="1" applyAlignment="1">
      <alignment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 applyAlignment="1">
      <alignment vertical="top"/>
    </xf>
    <xf numFmtId="3" fontId="0" fillId="3" borderId="0" xfId="0" applyNumberFormat="1" applyFill="1" applyAlignment="1">
      <alignment vertical="top"/>
    </xf>
    <xf numFmtId="0" fontId="0" fillId="5" borderId="0" xfId="0" applyFill="1" applyAlignment="1">
      <alignment vertical="top"/>
    </xf>
    <xf numFmtId="0" fontId="2" fillId="5" borderId="0" xfId="1" applyFill="1" applyAlignment="1">
      <alignment vertical="top"/>
    </xf>
    <xf numFmtId="0" fontId="4" fillId="4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4" borderId="0" xfId="1" applyAlignment="1">
      <alignment horizontal="left" vertical="center" wrapText="1"/>
    </xf>
    <xf numFmtId="0" fontId="2" fillId="5" borderId="0" xfId="1" applyFill="1" applyAlignment="1">
      <alignment horizontal="left" vertical="center"/>
    </xf>
    <xf numFmtId="0" fontId="4" fillId="4" borderId="0" xfId="1" applyFont="1" applyAlignment="1">
      <alignment vertical="top" wrapText="1"/>
    </xf>
    <xf numFmtId="0" fontId="2" fillId="4" borderId="0" xfId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3" borderId="0" xfId="0" applyFont="1" applyFill="1" applyAlignment="1">
      <alignment vertical="top"/>
    </xf>
    <xf numFmtId="0" fontId="6" fillId="0" borderId="0" xfId="0" applyFont="1" applyAlignment="1">
      <alignment vertical="top" wrapText="1"/>
    </xf>
    <xf numFmtId="3" fontId="4" fillId="4" borderId="0" xfId="1" applyNumberFormat="1" applyFont="1" applyAlignment="1">
      <alignment horizontal="right" vertical="center" wrapText="1"/>
    </xf>
    <xf numFmtId="0" fontId="5" fillId="3" borderId="0" xfId="0" applyFont="1" applyFill="1" applyAlignment="1">
      <alignment vertical="top"/>
    </xf>
    <xf numFmtId="0" fontId="6" fillId="0" borderId="0" xfId="0" applyFont="1" applyAlignment="1">
      <alignment vertical="top"/>
    </xf>
    <xf numFmtId="3" fontId="4" fillId="4" borderId="1" xfId="1" applyNumberFormat="1" applyFont="1" applyFill="1" applyBorder="1" applyAlignment="1">
      <alignment horizontal="right" vertical="center" wrapText="1"/>
    </xf>
  </cellXfs>
  <cellStyles count="3">
    <cellStyle name="Bueno" xfId="1" builtinId="26"/>
    <cellStyle name="Normal" xfId="0" builtinId="0"/>
    <cellStyle name="Normal 2" xfId="2" xr:uid="{7CCBBEB5-4912-4554-A292-9AD84F819D54}"/>
  </cellStyles>
  <dxfs count="12"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8313A-7BD8-4C59-9654-97707614D0AB}" name="Table1" displayName="Table1" ref="A1:J41" totalsRowShown="0" headerRowDxfId="11" dataDxfId="10">
  <autoFilter ref="A1:J41" xr:uid="{8338313A-7BD8-4C59-9654-97707614D0AB}"/>
  <sortState xmlns:xlrd2="http://schemas.microsoft.com/office/spreadsheetml/2017/richdata2" ref="A2:I26">
    <sortCondition ref="B1:B8112"/>
  </sortState>
  <tableColumns count="10">
    <tableColumn id="1" xr3:uid="{3C35402C-0734-4B25-8855-D607419E1C64}" name="Acción sobre BBDD" dataDxfId="9"/>
    <tableColumn id="2" xr3:uid="{F0E37D28-411F-4824-8A9F-94919B298AAD}" name="Orden" dataDxfId="8"/>
    <tableColumn id="8" xr3:uid="{3061CA24-B4CB-4782-98F0-C7B190D2DC43}" name="Entidad" dataDxfId="7"/>
    <tableColumn id="3" xr3:uid="{3F5468B9-5E88-43BF-BF17-3E70B9699887}" name="Num. Pacientes" dataDxfId="6"/>
    <tableColumn id="4" xr3:uid="{C2EDDFDC-CC93-48C7-B246-FC43792C84AF}" name="Num. Exp." dataDxfId="5"/>
    <tableColumn id="5" xr3:uid="{511CE35C-7DAD-461F-A861-5896F1964DD6}" name="Num. Presc." dataDxfId="4"/>
    <tableColumn id="6" xr3:uid="{B5C17DE5-1082-422A-9470-CA913CF18103}" name="Num. Meas." dataDxfId="3"/>
    <tableColumn id="10" xr3:uid="{63B822CE-88B9-439A-A93F-5069CFC176C3}" name="Num. Alelos" dataDxfId="2"/>
    <tableColumn id="7" xr3:uid="{A3842636-7247-4670-9B49-AF7430764BA0}" name="Observaciones" dataDxfId="1"/>
    <tableColumn id="9" xr3:uid="{B93EBEC3-E0C8-4770-A4CD-A1C97DC19E13}" name="Validad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zoomScale="91" zoomScaleNormal="100" workbookViewId="0">
      <pane ySplit="1" topLeftCell="A14" activePane="bottomLeft" state="frozen"/>
      <selection pane="bottomLeft" activeCell="D42" sqref="D42:H42"/>
    </sheetView>
  </sheetViews>
  <sheetFormatPr baseColWidth="10" defaultColWidth="8.6640625" defaultRowHeight="14.4" x14ac:dyDescent="0.3"/>
  <cols>
    <col min="1" max="1" width="42" style="1" customWidth="1"/>
    <col min="2" max="2" width="8.6640625" style="1" customWidth="1"/>
    <col min="3" max="3" width="10" style="1" bestFit="1" customWidth="1"/>
    <col min="4" max="4" width="17.33203125" style="3" bestFit="1" customWidth="1"/>
    <col min="5" max="5" width="12.44140625" style="3" bestFit="1" customWidth="1"/>
    <col min="6" max="6" width="13.88671875" style="3" bestFit="1" customWidth="1"/>
    <col min="7" max="8" width="13.88671875" style="3" customWidth="1"/>
    <col min="9" max="9" width="103.6640625" style="1" bestFit="1" customWidth="1"/>
    <col min="10" max="10" width="11.5546875" style="3" customWidth="1"/>
    <col min="11" max="16384" width="8.6640625" style="3"/>
  </cols>
  <sheetData>
    <row r="1" spans="1:10" s="4" customFormat="1" ht="1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42</v>
      </c>
      <c r="I1" s="2" t="s">
        <v>7</v>
      </c>
      <c r="J1" s="2" t="s">
        <v>8</v>
      </c>
    </row>
    <row r="2" spans="1:10" ht="86.4" x14ac:dyDescent="0.3">
      <c r="A2" s="1" t="s">
        <v>9</v>
      </c>
      <c r="B2" s="1">
        <v>0</v>
      </c>
      <c r="C2" s="1" t="s">
        <v>10</v>
      </c>
      <c r="D2" s="5">
        <v>63011</v>
      </c>
      <c r="E2" s="5">
        <v>149181</v>
      </c>
      <c r="F2" s="5">
        <v>433845</v>
      </c>
      <c r="G2" s="5">
        <v>1180311</v>
      </c>
      <c r="H2" s="5">
        <v>112146</v>
      </c>
      <c r="I2" s="1" t="s">
        <v>44</v>
      </c>
      <c r="J2" s="11"/>
    </row>
    <row r="3" spans="1:10" ht="31.5" customHeight="1" x14ac:dyDescent="0.3">
      <c r="A3" s="1" t="s">
        <v>11</v>
      </c>
      <c r="B3" s="1">
        <v>1</v>
      </c>
      <c r="C3" s="1" t="s">
        <v>10</v>
      </c>
      <c r="D3" s="9">
        <v>36146</v>
      </c>
      <c r="E3" s="5"/>
      <c r="F3" s="5"/>
      <c r="G3" s="5"/>
      <c r="H3" s="5"/>
      <c r="I3" s="6"/>
      <c r="J3" s="11"/>
    </row>
    <row r="4" spans="1:10" x14ac:dyDescent="0.3">
      <c r="A4" s="1" t="s">
        <v>43</v>
      </c>
      <c r="B4" s="1">
        <v>2</v>
      </c>
      <c r="C4" s="1" t="s">
        <v>12</v>
      </c>
      <c r="D4" s="9">
        <v>36129</v>
      </c>
      <c r="I4" s="1" t="s">
        <v>13</v>
      </c>
      <c r="J4" s="11"/>
    </row>
    <row r="5" spans="1:10" ht="28.8" x14ac:dyDescent="0.3">
      <c r="A5" s="7" t="s">
        <v>14</v>
      </c>
      <c r="B5" s="1">
        <v>3</v>
      </c>
      <c r="C5" t="s">
        <v>12</v>
      </c>
      <c r="D5" s="5"/>
      <c r="I5" s="1" t="s">
        <v>15</v>
      </c>
      <c r="J5" s="11"/>
    </row>
    <row r="6" spans="1:10" ht="43.2" x14ac:dyDescent="0.3">
      <c r="A6" s="1" t="s">
        <v>16</v>
      </c>
      <c r="B6" s="1">
        <v>4</v>
      </c>
      <c r="C6" s="1" t="s">
        <v>17</v>
      </c>
      <c r="E6" s="8">
        <v>99453</v>
      </c>
      <c r="I6" s="1" t="s">
        <v>18</v>
      </c>
      <c r="J6" s="11"/>
    </row>
    <row r="7" spans="1:10" ht="28.8" x14ac:dyDescent="0.3">
      <c r="A7" s="1" t="s">
        <v>19</v>
      </c>
      <c r="B7" s="1">
        <v>5</v>
      </c>
      <c r="C7" s="1" t="s">
        <v>17</v>
      </c>
      <c r="E7" s="8">
        <v>98450</v>
      </c>
      <c r="I7" s="1" t="s">
        <v>20</v>
      </c>
      <c r="J7" s="11"/>
    </row>
    <row r="8" spans="1:10" x14ac:dyDescent="0.3">
      <c r="A8" s="1" t="s">
        <v>21</v>
      </c>
      <c r="B8" s="1">
        <v>6</v>
      </c>
      <c r="C8" s="1" t="s">
        <v>17</v>
      </c>
      <c r="E8" s="20">
        <v>96744</v>
      </c>
      <c r="I8" s="1" t="s">
        <v>21</v>
      </c>
      <c r="J8" s="11"/>
    </row>
    <row r="9" spans="1:10" ht="28.8" x14ac:dyDescent="0.3">
      <c r="A9" s="1" t="s">
        <v>22</v>
      </c>
      <c r="B9" s="1">
        <v>7</v>
      </c>
      <c r="C9" s="1" t="s">
        <v>23</v>
      </c>
      <c r="F9" s="8">
        <v>384038</v>
      </c>
      <c r="I9" s="1" t="s">
        <v>45</v>
      </c>
      <c r="J9" s="11"/>
    </row>
    <row r="10" spans="1:10" x14ac:dyDescent="0.3">
      <c r="A10" s="1" t="s">
        <v>24</v>
      </c>
      <c r="B10" s="1">
        <v>8</v>
      </c>
      <c r="C10" s="1" t="s">
        <v>23</v>
      </c>
      <c r="F10" s="20">
        <v>276657</v>
      </c>
      <c r="I10" s="1" t="s">
        <v>24</v>
      </c>
      <c r="J10" s="11"/>
    </row>
    <row r="11" spans="1:10" ht="28.8" x14ac:dyDescent="0.3">
      <c r="A11" s="7" t="s">
        <v>25</v>
      </c>
      <c r="B11" s="1">
        <v>9</v>
      </c>
      <c r="C11" s="1" t="s">
        <v>23</v>
      </c>
      <c r="F11" s="8">
        <v>233728</v>
      </c>
      <c r="I11" s="7" t="s">
        <v>25</v>
      </c>
      <c r="J11" s="11"/>
    </row>
    <row r="12" spans="1:10" x14ac:dyDescent="0.3">
      <c r="A12" s="1" t="s">
        <v>26</v>
      </c>
      <c r="B12" s="1">
        <v>11</v>
      </c>
      <c r="C12" s="1" t="s">
        <v>23</v>
      </c>
      <c r="F12" s="8">
        <v>233313</v>
      </c>
      <c r="I12" s="1" t="s">
        <v>26</v>
      </c>
      <c r="J12" s="11"/>
    </row>
    <row r="13" spans="1:10" x14ac:dyDescent="0.3">
      <c r="B13" s="1">
        <v>12</v>
      </c>
      <c r="C13" s="1" t="s">
        <v>27</v>
      </c>
      <c r="G13" s="8">
        <v>1180014</v>
      </c>
      <c r="I13" s="1" t="s">
        <v>28</v>
      </c>
      <c r="J13" s="11"/>
    </row>
    <row r="14" spans="1:10" x14ac:dyDescent="0.3">
      <c r="B14" s="1">
        <v>13</v>
      </c>
      <c r="C14" s="1" t="s">
        <v>29</v>
      </c>
      <c r="G14" s="8">
        <v>1177603</v>
      </c>
      <c r="I14" s="1" t="s">
        <v>30</v>
      </c>
      <c r="J14" s="11"/>
    </row>
    <row r="15" spans="1:10" x14ac:dyDescent="0.3">
      <c r="A15" t="s">
        <v>31</v>
      </c>
      <c r="B15" s="1">
        <v>14</v>
      </c>
      <c r="C15" s="1" t="s">
        <v>27</v>
      </c>
      <c r="G15" s="8">
        <v>1175927</v>
      </c>
      <c r="I15" s="7" t="s">
        <v>31</v>
      </c>
      <c r="J15" s="11"/>
    </row>
    <row r="16" spans="1:10" x14ac:dyDescent="0.3">
      <c r="A16" s="3" t="s">
        <v>32</v>
      </c>
      <c r="B16" s="1">
        <v>15</v>
      </c>
      <c r="C16" s="1" t="s">
        <v>27</v>
      </c>
      <c r="G16" s="8">
        <v>806312</v>
      </c>
      <c r="I16" s="1" t="s">
        <v>32</v>
      </c>
      <c r="J16" s="11"/>
    </row>
    <row r="17" spans="1:10" x14ac:dyDescent="0.3">
      <c r="B17" s="1">
        <v>16</v>
      </c>
      <c r="C17" s="1" t="s">
        <v>23</v>
      </c>
      <c r="F17" s="8">
        <v>212845</v>
      </c>
      <c r="I17" s="1" t="s">
        <v>35</v>
      </c>
      <c r="J17" s="10"/>
    </row>
    <row r="18" spans="1:10" x14ac:dyDescent="0.3">
      <c r="B18" s="1">
        <v>17</v>
      </c>
      <c r="C18" s="1" t="s">
        <v>17</v>
      </c>
      <c r="E18" s="8">
        <v>41292</v>
      </c>
      <c r="I18" s="1" t="s">
        <v>36</v>
      </c>
      <c r="J18" s="10"/>
    </row>
    <row r="19" spans="1:10" x14ac:dyDescent="0.3">
      <c r="B19" s="1">
        <v>18</v>
      </c>
      <c r="C19" s="1" t="s">
        <v>12</v>
      </c>
      <c r="D19" s="8">
        <v>28221</v>
      </c>
      <c r="I19" s="1" t="s">
        <v>46</v>
      </c>
      <c r="J19" s="10"/>
    </row>
    <row r="20" spans="1:10" ht="28.8" x14ac:dyDescent="0.3">
      <c r="A20" s="1" t="s">
        <v>50</v>
      </c>
      <c r="B20" s="1">
        <v>19</v>
      </c>
      <c r="C20" s="1" t="s">
        <v>12</v>
      </c>
      <c r="D20" s="8">
        <v>17563</v>
      </c>
      <c r="H20" s="19"/>
      <c r="J20" s="10"/>
    </row>
    <row r="21" spans="1:10" x14ac:dyDescent="0.3">
      <c r="B21" s="1">
        <v>20</v>
      </c>
      <c r="C21" s="1" t="s">
        <v>27</v>
      </c>
      <c r="G21" s="8">
        <v>438433</v>
      </c>
      <c r="H21" s="19"/>
      <c r="I21" s="1" t="s">
        <v>51</v>
      </c>
      <c r="J21" s="10"/>
    </row>
    <row r="22" spans="1:10" x14ac:dyDescent="0.3">
      <c r="B22" s="1">
        <v>21</v>
      </c>
      <c r="C22" s="1" t="s">
        <v>23</v>
      </c>
      <c r="F22" s="8">
        <v>132523</v>
      </c>
      <c r="H22" s="19"/>
      <c r="I22" s="1" t="s">
        <v>52</v>
      </c>
      <c r="J22" s="10"/>
    </row>
    <row r="23" spans="1:10" x14ac:dyDescent="0.3">
      <c r="B23" s="1">
        <v>22</v>
      </c>
      <c r="C23" s="1" t="s">
        <v>17</v>
      </c>
      <c r="E23" s="8">
        <v>25097</v>
      </c>
      <c r="H23" s="19"/>
      <c r="I23" s="1" t="s">
        <v>36</v>
      </c>
      <c r="J23" s="10"/>
    </row>
    <row r="24" spans="1:10" x14ac:dyDescent="0.3">
      <c r="A24" s="18" t="s">
        <v>53</v>
      </c>
      <c r="B24" s="18">
        <v>23</v>
      </c>
      <c r="C24" s="18" t="s">
        <v>47</v>
      </c>
      <c r="D24" s="19"/>
      <c r="E24" s="19"/>
      <c r="F24" s="19"/>
      <c r="G24" s="19"/>
      <c r="H24" s="23">
        <v>101264</v>
      </c>
      <c r="I24" s="18" t="s">
        <v>54</v>
      </c>
      <c r="J24" s="10"/>
    </row>
    <row r="25" spans="1:10" x14ac:dyDescent="0.3">
      <c r="A25" s="18" t="s">
        <v>48</v>
      </c>
      <c r="B25" s="18">
        <v>24</v>
      </c>
      <c r="C25" s="18" t="s">
        <v>47</v>
      </c>
      <c r="D25" s="19"/>
      <c r="E25" s="19"/>
      <c r="F25" s="19"/>
      <c r="G25" s="19"/>
      <c r="H25" s="23">
        <v>70598</v>
      </c>
      <c r="I25" s="18" t="s">
        <v>49</v>
      </c>
      <c r="J25" s="10"/>
    </row>
    <row r="26" spans="1:10" s="13" customFormat="1" ht="21" x14ac:dyDescent="0.3">
      <c r="A26" s="12" t="s">
        <v>39</v>
      </c>
      <c r="B26" s="12"/>
      <c r="C26" s="12"/>
      <c r="D26" s="22">
        <f>D20</f>
        <v>17563</v>
      </c>
      <c r="E26" s="22">
        <f>E23</f>
        <v>25097</v>
      </c>
      <c r="F26" s="22">
        <f>F22</f>
        <v>132523</v>
      </c>
      <c r="G26" s="22">
        <f>G21</f>
        <v>438433</v>
      </c>
      <c r="H26" s="22">
        <f>H25</f>
        <v>70598</v>
      </c>
      <c r="I26" s="14" t="s">
        <v>40</v>
      </c>
      <c r="J26" s="15"/>
    </row>
    <row r="27" spans="1:10" x14ac:dyDescent="0.3">
      <c r="B27" s="1">
        <v>25</v>
      </c>
      <c r="C27" s="1" t="s">
        <v>27</v>
      </c>
      <c r="G27" s="8">
        <v>296129</v>
      </c>
      <c r="I27" s="1" t="s">
        <v>38</v>
      </c>
      <c r="J27" s="10"/>
    </row>
    <row r="28" spans="1:10" x14ac:dyDescent="0.3">
      <c r="B28" s="1">
        <v>26</v>
      </c>
      <c r="C28" s="1" t="s">
        <v>23</v>
      </c>
      <c r="F28" s="8">
        <v>113709</v>
      </c>
      <c r="I28" s="1" t="s">
        <v>35</v>
      </c>
      <c r="J28" s="10"/>
    </row>
    <row r="29" spans="1:10" x14ac:dyDescent="0.3">
      <c r="B29" s="1">
        <v>27</v>
      </c>
      <c r="C29" s="1" t="s">
        <v>17</v>
      </c>
      <c r="E29" s="8">
        <v>20942</v>
      </c>
      <c r="I29" s="1" t="s">
        <v>36</v>
      </c>
      <c r="J29" s="10"/>
    </row>
    <row r="30" spans="1:10" x14ac:dyDescent="0.3">
      <c r="B30" s="1">
        <v>28</v>
      </c>
      <c r="C30" s="1" t="s">
        <v>12</v>
      </c>
      <c r="D30" s="8">
        <v>14170</v>
      </c>
      <c r="I30" s="1" t="s">
        <v>46</v>
      </c>
      <c r="J30" s="10"/>
    </row>
    <row r="31" spans="1:10" x14ac:dyDescent="0.3">
      <c r="B31" s="1">
        <v>29</v>
      </c>
      <c r="C31" s="1" t="s">
        <v>47</v>
      </c>
      <c r="H31" s="20">
        <v>59757</v>
      </c>
      <c r="I31" s="1" t="s">
        <v>49</v>
      </c>
      <c r="J31" s="10"/>
    </row>
    <row r="32" spans="1:10" ht="21" x14ac:dyDescent="0.3">
      <c r="A32" s="16" t="s">
        <v>33</v>
      </c>
      <c r="B32" s="16"/>
      <c r="C32" s="16"/>
      <c r="D32" s="22">
        <f>D30</f>
        <v>14170</v>
      </c>
      <c r="E32" s="22">
        <f>E29</f>
        <v>20942</v>
      </c>
      <c r="F32" s="22">
        <f>F28</f>
        <v>113709</v>
      </c>
      <c r="G32" s="22">
        <f>G27</f>
        <v>296129</v>
      </c>
      <c r="H32" s="22">
        <f>H31</f>
        <v>59757</v>
      </c>
      <c r="I32" s="17" t="s">
        <v>41</v>
      </c>
      <c r="J32" s="11"/>
    </row>
    <row r="33" spans="1:10" ht="28.8" x14ac:dyDescent="0.3">
      <c r="A33" s="1" t="s">
        <v>55</v>
      </c>
      <c r="B33" s="1">
        <v>30</v>
      </c>
      <c r="C33" s="1" t="s">
        <v>23</v>
      </c>
      <c r="D33" s="24"/>
      <c r="E33" s="24"/>
      <c r="F33" s="20">
        <v>113483</v>
      </c>
      <c r="G33" s="24"/>
      <c r="H33" s="24"/>
      <c r="J33" s="11"/>
    </row>
    <row r="34" spans="1:10" x14ac:dyDescent="0.3">
      <c r="B34" s="1">
        <v>31</v>
      </c>
      <c r="C34" s="1" t="s">
        <v>17</v>
      </c>
      <c r="D34" s="24"/>
      <c r="E34" s="23">
        <v>20942</v>
      </c>
      <c r="F34" s="24"/>
      <c r="G34" s="24"/>
      <c r="H34" s="24"/>
      <c r="I34" s="1" t="s">
        <v>56</v>
      </c>
      <c r="J34" s="10"/>
    </row>
    <row r="35" spans="1:10" x14ac:dyDescent="0.3">
      <c r="B35" s="1">
        <v>32</v>
      </c>
      <c r="C35" s="1" t="s">
        <v>12</v>
      </c>
      <c r="D35" s="23">
        <v>14170</v>
      </c>
      <c r="E35" s="24"/>
      <c r="F35" s="24"/>
      <c r="G35" s="24"/>
      <c r="H35" s="24"/>
      <c r="I35" s="1" t="s">
        <v>57</v>
      </c>
      <c r="J35" s="10"/>
    </row>
    <row r="36" spans="1:10" x14ac:dyDescent="0.3">
      <c r="B36" s="1">
        <v>33</v>
      </c>
      <c r="C36" s="1" t="s">
        <v>60</v>
      </c>
      <c r="D36" s="24"/>
      <c r="E36" s="24"/>
      <c r="F36" s="24"/>
      <c r="G36" s="23">
        <v>296129</v>
      </c>
      <c r="H36" s="24"/>
      <c r="I36" s="1" t="s">
        <v>58</v>
      </c>
      <c r="J36" s="10"/>
    </row>
    <row r="37" spans="1:10" x14ac:dyDescent="0.3">
      <c r="B37" s="1">
        <v>34</v>
      </c>
      <c r="C37" s="1" t="s">
        <v>47</v>
      </c>
      <c r="D37" s="24"/>
      <c r="E37" s="24"/>
      <c r="F37" s="24"/>
      <c r="G37" s="24"/>
      <c r="H37" s="23">
        <v>59757</v>
      </c>
      <c r="I37" s="1" t="s">
        <v>59</v>
      </c>
      <c r="J37" s="10"/>
    </row>
    <row r="38" spans="1:10" x14ac:dyDescent="0.3">
      <c r="C38" s="21"/>
      <c r="D38" s="24"/>
      <c r="E38" s="24"/>
      <c r="F38" s="24"/>
      <c r="G38" s="24"/>
      <c r="H38" s="24"/>
      <c r="I38" s="18"/>
      <c r="J38" s="10"/>
    </row>
    <row r="39" spans="1:10" x14ac:dyDescent="0.3">
      <c r="C39" s="21"/>
      <c r="D39" s="24"/>
      <c r="E39" s="24"/>
      <c r="F39" s="24"/>
      <c r="G39" s="24"/>
      <c r="H39" s="24"/>
      <c r="I39" s="18"/>
      <c r="J39" s="10"/>
    </row>
    <row r="40" spans="1:10" x14ac:dyDescent="0.3">
      <c r="D40" s="24"/>
      <c r="E40" s="24"/>
      <c r="F40" s="24"/>
      <c r="G40" s="24"/>
      <c r="H40" s="24"/>
      <c r="I40" s="18"/>
      <c r="J40" s="10"/>
    </row>
    <row r="41" spans="1:10" x14ac:dyDescent="0.3">
      <c r="D41" s="24"/>
      <c r="E41" s="24"/>
      <c r="F41" s="24"/>
      <c r="G41" s="24"/>
      <c r="H41" s="24"/>
      <c r="J41" s="10"/>
    </row>
    <row r="42" spans="1:10" ht="21" x14ac:dyDescent="0.3">
      <c r="A42" s="16" t="s">
        <v>37</v>
      </c>
      <c r="B42" s="16"/>
      <c r="C42" s="16"/>
      <c r="D42" s="25">
        <f>D35</f>
        <v>14170</v>
      </c>
      <c r="E42" s="25">
        <f>E34</f>
        <v>20942</v>
      </c>
      <c r="F42" s="25">
        <f>F33</f>
        <v>113483</v>
      </c>
      <c r="G42" s="25">
        <f>G36</f>
        <v>296129</v>
      </c>
      <c r="H42" s="25">
        <f>H37</f>
        <v>59757</v>
      </c>
      <c r="I42" s="17" t="s">
        <v>34</v>
      </c>
      <c r="J42" s="1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8" ma:contentTypeDescription="Crear nuevo documento." ma:contentTypeScope="" ma:versionID="bee86f4f3c7741ae8ad1815c318a9b6f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332a0279e89cb39bf1c6fc69325852e1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98E68F-C746-48E8-9864-54605F4F30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7DE1C3-4362-4F9B-83EA-3217FA3E6693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customXml/itemProps3.xml><?xml version="1.0" encoding="utf-8"?>
<ds:datastoreItem xmlns:ds="http://schemas.openxmlformats.org/officeDocument/2006/customXml" ds:itemID="{633BFFCD-5776-4D00-95CD-5ABAE5DCC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Mercè Ordóñez Manent</dc:creator>
  <cp:keywords/>
  <dc:description/>
  <cp:lastModifiedBy>de Luis Roman, Daniel-Antonio</cp:lastModifiedBy>
  <cp:revision/>
  <dcterms:created xsi:type="dcterms:W3CDTF">2015-06-05T18:17:20Z</dcterms:created>
  <dcterms:modified xsi:type="dcterms:W3CDTF">2024-12-18T15:35:19Z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  <property fmtid="{D5CDD505-2E9C-101B-9397-08002B2CF9AE}" pid="3" name="MediaServiceImageTags">
    <vt:lpwstr/>
  </property>
</Properties>
</file>